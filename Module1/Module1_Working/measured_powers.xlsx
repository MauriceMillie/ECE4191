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fffcb1064aeeec/University/Year4/ECE4191/Module1/Module1_Working/"/>
    </mc:Choice>
  </mc:AlternateContent>
  <xr:revisionPtr revIDLastSave="134" documentId="8_{E3AA75C1-09E7-4240-980D-E087154CAC8B}" xr6:coauthVersionLast="47" xr6:coauthVersionMax="47" xr10:uidLastSave="{F4DD68E4-AF37-48DB-8EAB-AABD9B592277}"/>
  <bookViews>
    <workbookView xWindow="-98" yWindow="-98" windowWidth="23236" windowHeight="13875" xr2:uid="{EFA90EBC-2A93-4EA3-BA57-A5C5D1AC8481}"/>
  </bookViews>
  <sheets>
    <sheet name="measured_pow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06" i="1" l="1"/>
  <c r="AO506" i="1"/>
  <c r="AP505" i="1"/>
  <c r="AO505" i="1"/>
  <c r="AN506" i="1"/>
  <c r="AM506" i="1"/>
  <c r="AL506" i="1"/>
  <c r="AN505" i="1"/>
  <c r="AM505" i="1"/>
  <c r="AL505" i="1"/>
  <c r="AL497" i="1"/>
  <c r="AM495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253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V499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V495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AN300" i="1"/>
  <c r="AN299" i="1"/>
  <c r="AN298" i="1"/>
  <c r="AN297" i="1"/>
  <c r="AN296" i="1"/>
  <c r="AN295" i="1"/>
  <c r="AN294" i="1"/>
  <c r="AN293" i="1"/>
  <c r="AN292" i="1"/>
  <c r="AN291" i="1"/>
  <c r="AN290" i="1"/>
  <c r="AN289" i="1"/>
  <c r="AN288" i="1"/>
  <c r="AN287" i="1"/>
  <c r="AN286" i="1"/>
  <c r="AN285" i="1"/>
  <c r="AN284" i="1"/>
  <c r="AN283" i="1"/>
  <c r="AN282" i="1"/>
  <c r="AN281" i="1"/>
  <c r="AN280" i="1"/>
  <c r="AN279" i="1"/>
  <c r="AN278" i="1"/>
  <c r="AN277" i="1"/>
  <c r="AN276" i="1"/>
  <c r="AN275" i="1"/>
  <c r="AN274" i="1"/>
  <c r="AN273" i="1"/>
  <c r="AN272" i="1"/>
  <c r="AN271" i="1"/>
  <c r="AN270" i="1"/>
  <c r="AN269" i="1"/>
  <c r="AN268" i="1"/>
  <c r="AN267" i="1"/>
  <c r="AN266" i="1"/>
  <c r="AN265" i="1"/>
  <c r="AN264" i="1"/>
  <c r="AN263" i="1"/>
  <c r="AN262" i="1"/>
  <c r="AN261" i="1"/>
  <c r="AN260" i="1"/>
  <c r="AN259" i="1"/>
  <c r="AN258" i="1"/>
  <c r="AN257" i="1"/>
  <c r="AN256" i="1"/>
  <c r="AN255" i="1"/>
  <c r="AN254" i="1"/>
</calcChain>
</file>

<file path=xl/sharedStrings.xml><?xml version="1.0" encoding="utf-8"?>
<sst xmlns="http://schemas.openxmlformats.org/spreadsheetml/2006/main" count="91" uniqueCount="33">
  <si>
    <t>step</t>
  </si>
  <si>
    <t>date_label</t>
  </si>
  <si>
    <t>profile_time</t>
  </si>
  <si>
    <t>p_634_A_W</t>
  </si>
  <si>
    <t>p_634_B_W</t>
  </si>
  <si>
    <t>p_634_C_W</t>
  </si>
  <si>
    <t>p_645_B_W</t>
  </si>
  <si>
    <t>p_646_B_W</t>
  </si>
  <si>
    <t>p_652_A_W</t>
  </si>
  <si>
    <t>p_671_A_W</t>
  </si>
  <si>
    <t>p_671_B_W</t>
  </si>
  <si>
    <t>p_671_C_W</t>
  </si>
  <si>
    <t>p_675_A_W</t>
  </si>
  <si>
    <t>p_675_B_W</t>
  </si>
  <si>
    <t>p_675_C_W</t>
  </si>
  <si>
    <t>p_692_C_W</t>
  </si>
  <si>
    <t>p_611_C_W</t>
  </si>
  <si>
    <t>AVERAGES</t>
  </si>
  <si>
    <t>Reverse</t>
  </si>
  <si>
    <t>power flag</t>
  </si>
  <si>
    <t>Highest</t>
  </si>
  <si>
    <t>reverse</t>
  </si>
  <si>
    <t>power flow (W)</t>
  </si>
  <si>
    <t>SUM</t>
  </si>
  <si>
    <t>Peak feeder</t>
  </si>
  <si>
    <t>load (W)</t>
  </si>
  <si>
    <t>Power flows</t>
  </si>
  <si>
    <t>at step 88</t>
  </si>
  <si>
    <t>1st max</t>
  </si>
  <si>
    <t>2nd max</t>
  </si>
  <si>
    <t>3rd max</t>
  </si>
  <si>
    <t>4th max</t>
  </si>
  <si>
    <t>5th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</si>
</sst>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6" fillId="2" borderId="0" xfId="6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Node</a:t>
            </a:r>
            <a:r>
              <a:rPr lang="en-AU" baseline="0"/>
              <a:t> phase powers vs step number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measured_powers!$B$252</c:f>
              <c:strCache>
                <c:ptCount val="1"/>
                <c:pt idx="0">
                  <c:v>p_634_A_W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measured_powers!$A$253:$A$492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measured_powers!$B$253:$B$492</c:f>
              <c:numCache>
                <c:formatCode>General</c:formatCode>
                <c:ptCount val="240"/>
                <c:pt idx="0">
                  <c:v>46313.484375</c:v>
                </c:pt>
                <c:pt idx="1">
                  <c:v>41062.359375</c:v>
                </c:pt>
                <c:pt idx="2">
                  <c:v>36163.59765625</c:v>
                </c:pt>
                <c:pt idx="3">
                  <c:v>32887.44921875</c:v>
                </c:pt>
                <c:pt idx="4">
                  <c:v>29002.380859375</c:v>
                </c:pt>
                <c:pt idx="5">
                  <c:v>29065.9921875</c:v>
                </c:pt>
                <c:pt idx="6">
                  <c:v>29000.189453125</c:v>
                </c:pt>
                <c:pt idx="7">
                  <c:v>28712.646484375</c:v>
                </c:pt>
                <c:pt idx="8">
                  <c:v>28250.802734375</c:v>
                </c:pt>
                <c:pt idx="9">
                  <c:v>29517.4765625</c:v>
                </c:pt>
                <c:pt idx="10">
                  <c:v>35168.859375</c:v>
                </c:pt>
                <c:pt idx="11">
                  <c:v>34082.75</c:v>
                </c:pt>
                <c:pt idx="12">
                  <c:v>32006.005859375</c:v>
                </c:pt>
                <c:pt idx="13">
                  <c:v>33994.6796875</c:v>
                </c:pt>
                <c:pt idx="14">
                  <c:v>28068.2421875</c:v>
                </c:pt>
                <c:pt idx="15">
                  <c:v>23867.591796875</c:v>
                </c:pt>
                <c:pt idx="16">
                  <c:v>18449.74609375</c:v>
                </c:pt>
                <c:pt idx="17">
                  <c:v>19219.44921875</c:v>
                </c:pt>
                <c:pt idx="18">
                  <c:v>5219.1953125</c:v>
                </c:pt>
                <c:pt idx="19">
                  <c:v>-962.25604248046795</c:v>
                </c:pt>
                <c:pt idx="20">
                  <c:v>-13497.1962890625</c:v>
                </c:pt>
                <c:pt idx="21">
                  <c:v>-24233.53515625</c:v>
                </c:pt>
                <c:pt idx="22">
                  <c:v>-30167.232421875</c:v>
                </c:pt>
                <c:pt idx="23">
                  <c:v>-30742.009765625</c:v>
                </c:pt>
                <c:pt idx="24">
                  <c:v>-32168.4375</c:v>
                </c:pt>
                <c:pt idx="25">
                  <c:v>-35446.90234375</c:v>
                </c:pt>
                <c:pt idx="26">
                  <c:v>-38843.12109375</c:v>
                </c:pt>
                <c:pt idx="27">
                  <c:v>-33614.38671875</c:v>
                </c:pt>
                <c:pt idx="28">
                  <c:v>-25840.060546875</c:v>
                </c:pt>
                <c:pt idx="29">
                  <c:v>-22668.732421875</c:v>
                </c:pt>
                <c:pt idx="30">
                  <c:v>-19440.59375</c:v>
                </c:pt>
                <c:pt idx="31">
                  <c:v>-13430.8291015625</c:v>
                </c:pt>
                <c:pt idx="32">
                  <c:v>-4384.62255859375</c:v>
                </c:pt>
                <c:pt idx="33">
                  <c:v>2131.76000976562</c:v>
                </c:pt>
                <c:pt idx="34">
                  <c:v>17811.6640625</c:v>
                </c:pt>
                <c:pt idx="35">
                  <c:v>38151.703125</c:v>
                </c:pt>
                <c:pt idx="36">
                  <c:v>49332.26953125</c:v>
                </c:pt>
                <c:pt idx="37">
                  <c:v>68534.3671875</c:v>
                </c:pt>
                <c:pt idx="38">
                  <c:v>67550.640625</c:v>
                </c:pt>
                <c:pt idx="39">
                  <c:v>62459.68359375</c:v>
                </c:pt>
                <c:pt idx="40">
                  <c:v>67913.515625</c:v>
                </c:pt>
                <c:pt idx="41">
                  <c:v>73027.5390625</c:v>
                </c:pt>
                <c:pt idx="42">
                  <c:v>69277.40625</c:v>
                </c:pt>
                <c:pt idx="43">
                  <c:v>83099.0546875</c:v>
                </c:pt>
                <c:pt idx="44">
                  <c:v>74450.640625</c:v>
                </c:pt>
                <c:pt idx="45">
                  <c:v>61016.421875</c:v>
                </c:pt>
                <c:pt idx="46">
                  <c:v>49661.7421875</c:v>
                </c:pt>
                <c:pt idx="47">
                  <c:v>44382.77734375</c:v>
                </c:pt>
                <c:pt idx="48">
                  <c:v>47060.5390625</c:v>
                </c:pt>
                <c:pt idx="49">
                  <c:v>44244.55078125</c:v>
                </c:pt>
                <c:pt idx="50">
                  <c:v>37429.90625</c:v>
                </c:pt>
                <c:pt idx="51">
                  <c:v>34307.96875</c:v>
                </c:pt>
                <c:pt idx="52">
                  <c:v>34475.50390625</c:v>
                </c:pt>
                <c:pt idx="53">
                  <c:v>32897.29296875</c:v>
                </c:pt>
                <c:pt idx="54">
                  <c:v>33542.0390625</c:v>
                </c:pt>
                <c:pt idx="55">
                  <c:v>37402.078125</c:v>
                </c:pt>
                <c:pt idx="56">
                  <c:v>37075.89453125</c:v>
                </c:pt>
                <c:pt idx="57">
                  <c:v>38158.0546875</c:v>
                </c:pt>
                <c:pt idx="58">
                  <c:v>36710.78125</c:v>
                </c:pt>
                <c:pt idx="59">
                  <c:v>41361.9375</c:v>
                </c:pt>
                <c:pt idx="60">
                  <c:v>37148.921875</c:v>
                </c:pt>
                <c:pt idx="61">
                  <c:v>35009.875</c:v>
                </c:pt>
                <c:pt idx="62">
                  <c:v>33131.96484375</c:v>
                </c:pt>
                <c:pt idx="63">
                  <c:v>24985.841796875</c:v>
                </c:pt>
                <c:pt idx="64">
                  <c:v>25324.00390625</c:v>
                </c:pt>
                <c:pt idx="65">
                  <c:v>14868.6640625</c:v>
                </c:pt>
                <c:pt idx="66">
                  <c:v>8366.9052734375</c:v>
                </c:pt>
                <c:pt idx="67">
                  <c:v>-438.21224975585898</c:v>
                </c:pt>
                <c:pt idx="68">
                  <c:v>18656.033203125</c:v>
                </c:pt>
                <c:pt idx="69">
                  <c:v>18562.537109375</c:v>
                </c:pt>
                <c:pt idx="70">
                  <c:v>23301.71875</c:v>
                </c:pt>
                <c:pt idx="71">
                  <c:v>24070.7578125</c:v>
                </c:pt>
                <c:pt idx="72">
                  <c:v>26081.599609375</c:v>
                </c:pt>
                <c:pt idx="73">
                  <c:v>28708.873046875</c:v>
                </c:pt>
                <c:pt idx="74">
                  <c:v>28271.013671875</c:v>
                </c:pt>
                <c:pt idx="75">
                  <c:v>38276.90234375</c:v>
                </c:pt>
                <c:pt idx="76">
                  <c:v>52582.16015625</c:v>
                </c:pt>
                <c:pt idx="77">
                  <c:v>76095.59375</c:v>
                </c:pt>
                <c:pt idx="78">
                  <c:v>69684.1484375</c:v>
                </c:pt>
                <c:pt idx="79">
                  <c:v>77797.9140625</c:v>
                </c:pt>
                <c:pt idx="80">
                  <c:v>90581.8984375</c:v>
                </c:pt>
                <c:pt idx="81">
                  <c:v>107212.5625</c:v>
                </c:pt>
                <c:pt idx="82">
                  <c:v>122875.5546875</c:v>
                </c:pt>
                <c:pt idx="83">
                  <c:v>132201.875</c:v>
                </c:pt>
                <c:pt idx="84">
                  <c:v>147024.046875</c:v>
                </c:pt>
                <c:pt idx="85">
                  <c:v>148009.390625</c:v>
                </c:pt>
                <c:pt idx="86">
                  <c:v>160009.03125</c:v>
                </c:pt>
                <c:pt idx="87">
                  <c:v>163114.09375</c:v>
                </c:pt>
                <c:pt idx="88">
                  <c:v>163778.109375</c:v>
                </c:pt>
                <c:pt idx="89">
                  <c:v>166269.015625</c:v>
                </c:pt>
                <c:pt idx="90">
                  <c:v>162067.328125</c:v>
                </c:pt>
                <c:pt idx="91">
                  <c:v>159965.5</c:v>
                </c:pt>
                <c:pt idx="92">
                  <c:v>141403.734375</c:v>
                </c:pt>
                <c:pt idx="93">
                  <c:v>128246.2109375</c:v>
                </c:pt>
                <c:pt idx="94">
                  <c:v>94507.984375</c:v>
                </c:pt>
                <c:pt idx="95">
                  <c:v>96668.359375</c:v>
                </c:pt>
                <c:pt idx="96">
                  <c:v>85643.4453125</c:v>
                </c:pt>
                <c:pt idx="97">
                  <c:v>86940.75</c:v>
                </c:pt>
                <c:pt idx="98">
                  <c:v>81958.765625</c:v>
                </c:pt>
                <c:pt idx="99">
                  <c:v>72225.5390625</c:v>
                </c:pt>
                <c:pt idx="100">
                  <c:v>70005.75</c:v>
                </c:pt>
                <c:pt idx="101">
                  <c:v>64794.8984375</c:v>
                </c:pt>
                <c:pt idx="102">
                  <c:v>61271.2890625</c:v>
                </c:pt>
                <c:pt idx="103">
                  <c:v>61292.95703125</c:v>
                </c:pt>
                <c:pt idx="104">
                  <c:v>58210.78515625</c:v>
                </c:pt>
                <c:pt idx="105">
                  <c:v>59040.42578125</c:v>
                </c:pt>
                <c:pt idx="106">
                  <c:v>56540.203125</c:v>
                </c:pt>
                <c:pt idx="107">
                  <c:v>51026.74609375</c:v>
                </c:pt>
                <c:pt idx="108">
                  <c:v>47498.890625</c:v>
                </c:pt>
                <c:pt idx="109">
                  <c:v>51627.859375</c:v>
                </c:pt>
                <c:pt idx="110">
                  <c:v>41042.796875</c:v>
                </c:pt>
                <c:pt idx="111">
                  <c:v>29002.171875</c:v>
                </c:pt>
                <c:pt idx="112">
                  <c:v>27488.4921875</c:v>
                </c:pt>
                <c:pt idx="113">
                  <c:v>25491.015625</c:v>
                </c:pt>
                <c:pt idx="114">
                  <c:v>19235.458984375</c:v>
                </c:pt>
                <c:pt idx="115">
                  <c:v>11018.50390625</c:v>
                </c:pt>
                <c:pt idx="116">
                  <c:v>11281.7080078125</c:v>
                </c:pt>
                <c:pt idx="117">
                  <c:v>2838.73803710937</c:v>
                </c:pt>
                <c:pt idx="118">
                  <c:v>-1817.24230957031</c:v>
                </c:pt>
                <c:pt idx="119">
                  <c:v>-2589.03979492187</c:v>
                </c:pt>
                <c:pt idx="120">
                  <c:v>-5833.40576171875</c:v>
                </c:pt>
                <c:pt idx="121">
                  <c:v>-11236.3837890625</c:v>
                </c:pt>
                <c:pt idx="122">
                  <c:v>-15724.4013671875</c:v>
                </c:pt>
                <c:pt idx="123">
                  <c:v>-7494.1376953125</c:v>
                </c:pt>
                <c:pt idx="124">
                  <c:v>-12755.4375</c:v>
                </c:pt>
                <c:pt idx="125">
                  <c:v>-11925.412109375</c:v>
                </c:pt>
                <c:pt idx="126">
                  <c:v>-11389.537109375</c:v>
                </c:pt>
                <c:pt idx="127">
                  <c:v>307.84506225585898</c:v>
                </c:pt>
                <c:pt idx="128">
                  <c:v>8715.623046875</c:v>
                </c:pt>
                <c:pt idx="129">
                  <c:v>11517.6396484375</c:v>
                </c:pt>
                <c:pt idx="130">
                  <c:v>23509.357421875</c:v>
                </c:pt>
                <c:pt idx="131">
                  <c:v>36337.94921875</c:v>
                </c:pt>
                <c:pt idx="132">
                  <c:v>50734.6484375</c:v>
                </c:pt>
                <c:pt idx="133">
                  <c:v>56459.3203125</c:v>
                </c:pt>
                <c:pt idx="134">
                  <c:v>58027.07421875</c:v>
                </c:pt>
                <c:pt idx="135">
                  <c:v>51874.3125</c:v>
                </c:pt>
                <c:pt idx="136">
                  <c:v>51690.65234375</c:v>
                </c:pt>
                <c:pt idx="137">
                  <c:v>52710.33203125</c:v>
                </c:pt>
                <c:pt idx="138">
                  <c:v>53038.92578125</c:v>
                </c:pt>
                <c:pt idx="139">
                  <c:v>45876.59765625</c:v>
                </c:pt>
                <c:pt idx="140">
                  <c:v>49915.96484375</c:v>
                </c:pt>
                <c:pt idx="141">
                  <c:v>46657.66015625</c:v>
                </c:pt>
                <c:pt idx="142">
                  <c:v>38091.734375</c:v>
                </c:pt>
                <c:pt idx="143">
                  <c:v>34970.2734375</c:v>
                </c:pt>
                <c:pt idx="144">
                  <c:v>36845.21875</c:v>
                </c:pt>
                <c:pt idx="145">
                  <c:v>37628.65234375</c:v>
                </c:pt>
                <c:pt idx="146">
                  <c:v>29917.634765625</c:v>
                </c:pt>
                <c:pt idx="147">
                  <c:v>29359.392578125</c:v>
                </c:pt>
                <c:pt idx="148">
                  <c:v>28427.966796875</c:v>
                </c:pt>
                <c:pt idx="149">
                  <c:v>26948.193359375</c:v>
                </c:pt>
                <c:pt idx="150">
                  <c:v>25076.279296875</c:v>
                </c:pt>
                <c:pt idx="151">
                  <c:v>25482.060546875</c:v>
                </c:pt>
                <c:pt idx="152">
                  <c:v>24618.1484375</c:v>
                </c:pt>
                <c:pt idx="153">
                  <c:v>24121.2265625</c:v>
                </c:pt>
                <c:pt idx="154">
                  <c:v>29340.818359375</c:v>
                </c:pt>
                <c:pt idx="155">
                  <c:v>31230.5703125</c:v>
                </c:pt>
                <c:pt idx="156">
                  <c:v>32346.625</c:v>
                </c:pt>
                <c:pt idx="157">
                  <c:v>33987.66015625</c:v>
                </c:pt>
                <c:pt idx="158">
                  <c:v>31985.943359375</c:v>
                </c:pt>
                <c:pt idx="159">
                  <c:v>29022.333984375</c:v>
                </c:pt>
                <c:pt idx="160">
                  <c:v>25171.873046875</c:v>
                </c:pt>
                <c:pt idx="161">
                  <c:v>23710.810546875</c:v>
                </c:pt>
                <c:pt idx="162">
                  <c:v>28752.904296875</c:v>
                </c:pt>
                <c:pt idx="163">
                  <c:v>25496.8125</c:v>
                </c:pt>
                <c:pt idx="164">
                  <c:v>18196.150390625</c:v>
                </c:pt>
                <c:pt idx="165">
                  <c:v>10637.857421875</c:v>
                </c:pt>
                <c:pt idx="166">
                  <c:v>4653.6552734375</c:v>
                </c:pt>
                <c:pt idx="167">
                  <c:v>3733.568359375</c:v>
                </c:pt>
                <c:pt idx="168">
                  <c:v>-3531.13012695312</c:v>
                </c:pt>
                <c:pt idx="169">
                  <c:v>-635.74871826171795</c:v>
                </c:pt>
                <c:pt idx="170">
                  <c:v>1196.255859375</c:v>
                </c:pt>
                <c:pt idx="171">
                  <c:v>6643.595703125</c:v>
                </c:pt>
                <c:pt idx="172">
                  <c:v>2403.59252929687</c:v>
                </c:pt>
                <c:pt idx="173">
                  <c:v>218.11122131347599</c:v>
                </c:pt>
                <c:pt idx="174">
                  <c:v>-2143.11694335937</c:v>
                </c:pt>
                <c:pt idx="175">
                  <c:v>1510.12194824218</c:v>
                </c:pt>
                <c:pt idx="176">
                  <c:v>6241.94140625</c:v>
                </c:pt>
                <c:pt idx="177">
                  <c:v>8815.435546875</c:v>
                </c:pt>
                <c:pt idx="178">
                  <c:v>16446.017578125</c:v>
                </c:pt>
                <c:pt idx="179">
                  <c:v>33275.87109375</c:v>
                </c:pt>
                <c:pt idx="180">
                  <c:v>37220.13671875</c:v>
                </c:pt>
                <c:pt idx="181">
                  <c:v>38713.19140625</c:v>
                </c:pt>
                <c:pt idx="182">
                  <c:v>49337.73828125</c:v>
                </c:pt>
                <c:pt idx="183">
                  <c:v>55847.71484375</c:v>
                </c:pt>
                <c:pt idx="184">
                  <c:v>58797.59375</c:v>
                </c:pt>
                <c:pt idx="185">
                  <c:v>56619.1328125</c:v>
                </c:pt>
                <c:pt idx="186">
                  <c:v>53387.703125</c:v>
                </c:pt>
                <c:pt idx="187">
                  <c:v>48937.0703125</c:v>
                </c:pt>
                <c:pt idx="188">
                  <c:v>48905.5078125</c:v>
                </c:pt>
                <c:pt idx="189">
                  <c:v>47110.46875</c:v>
                </c:pt>
                <c:pt idx="190">
                  <c:v>39873.52734375</c:v>
                </c:pt>
                <c:pt idx="191">
                  <c:v>36106.62109375</c:v>
                </c:pt>
                <c:pt idx="192">
                  <c:v>38366.3671875</c:v>
                </c:pt>
                <c:pt idx="193">
                  <c:v>38760.28125</c:v>
                </c:pt>
                <c:pt idx="194">
                  <c:v>35173.54296875</c:v>
                </c:pt>
                <c:pt idx="195">
                  <c:v>32086.619140625</c:v>
                </c:pt>
                <c:pt idx="196">
                  <c:v>26544.2421875</c:v>
                </c:pt>
                <c:pt idx="197">
                  <c:v>26164.04296875</c:v>
                </c:pt>
                <c:pt idx="198">
                  <c:v>27498.84375</c:v>
                </c:pt>
                <c:pt idx="199">
                  <c:v>25282.923828125</c:v>
                </c:pt>
                <c:pt idx="200">
                  <c:v>24503.82421875</c:v>
                </c:pt>
                <c:pt idx="201">
                  <c:v>25395.12890625</c:v>
                </c:pt>
                <c:pt idx="202">
                  <c:v>29493.216796875</c:v>
                </c:pt>
                <c:pt idx="203">
                  <c:v>33202.2421875</c:v>
                </c:pt>
                <c:pt idx="204">
                  <c:v>33882.078125</c:v>
                </c:pt>
                <c:pt idx="205">
                  <c:v>32422.931640625</c:v>
                </c:pt>
                <c:pt idx="206">
                  <c:v>27295.544921875</c:v>
                </c:pt>
                <c:pt idx="207">
                  <c:v>22270.046875</c:v>
                </c:pt>
                <c:pt idx="208">
                  <c:v>14633.19921875</c:v>
                </c:pt>
                <c:pt idx="209">
                  <c:v>10064.7412109375</c:v>
                </c:pt>
                <c:pt idx="210">
                  <c:v>3352.80859375</c:v>
                </c:pt>
                <c:pt idx="211">
                  <c:v>-11137.7939453125</c:v>
                </c:pt>
                <c:pt idx="212">
                  <c:v>-21798.60546875</c:v>
                </c:pt>
                <c:pt idx="213">
                  <c:v>-29398.701171875</c:v>
                </c:pt>
                <c:pt idx="214">
                  <c:v>-23802.330078125</c:v>
                </c:pt>
                <c:pt idx="215">
                  <c:v>-20333.033203125</c:v>
                </c:pt>
                <c:pt idx="216">
                  <c:v>-18373.86328125</c:v>
                </c:pt>
                <c:pt idx="217">
                  <c:v>-20486.390625</c:v>
                </c:pt>
                <c:pt idx="218">
                  <c:v>-24092.865234375</c:v>
                </c:pt>
                <c:pt idx="219">
                  <c:v>-18839.294921875</c:v>
                </c:pt>
                <c:pt idx="220">
                  <c:v>-4001.03686523437</c:v>
                </c:pt>
                <c:pt idx="221">
                  <c:v>-6157.2744140625</c:v>
                </c:pt>
                <c:pt idx="222">
                  <c:v>6200.52001953125</c:v>
                </c:pt>
                <c:pt idx="223">
                  <c:v>8155.70068359375</c:v>
                </c:pt>
                <c:pt idx="224">
                  <c:v>4868.92626953125</c:v>
                </c:pt>
                <c:pt idx="225">
                  <c:v>32253.78125</c:v>
                </c:pt>
                <c:pt idx="226">
                  <c:v>47855.8359375</c:v>
                </c:pt>
                <c:pt idx="227">
                  <c:v>57594.78515625</c:v>
                </c:pt>
                <c:pt idx="228">
                  <c:v>72411.4140625</c:v>
                </c:pt>
                <c:pt idx="229">
                  <c:v>88218.7734375</c:v>
                </c:pt>
                <c:pt idx="230">
                  <c:v>102707.21875</c:v>
                </c:pt>
                <c:pt idx="231">
                  <c:v>108137.671875</c:v>
                </c:pt>
                <c:pt idx="232">
                  <c:v>115809.3515625</c:v>
                </c:pt>
                <c:pt idx="233">
                  <c:v>124863.9375</c:v>
                </c:pt>
                <c:pt idx="234">
                  <c:v>104730.8359375</c:v>
                </c:pt>
                <c:pt idx="235">
                  <c:v>90773.4140625</c:v>
                </c:pt>
                <c:pt idx="236">
                  <c:v>84504.640625</c:v>
                </c:pt>
                <c:pt idx="237">
                  <c:v>73244.9375</c:v>
                </c:pt>
                <c:pt idx="238">
                  <c:v>73903.71875</c:v>
                </c:pt>
                <c:pt idx="239">
                  <c:v>69625.7890625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0B-4AFC-BC15-B70EA5910442}"/>
            </c:ext>
          </c:extLst>
        </c:ser>
        <c:ser>
          <c:idx val="1"/>
          <c:order val="1"/>
          <c:tx>
            <c:strRef>
              <c:f>measured_powers!$C$252</c:f>
              <c:strCache>
                <c:ptCount val="1"/>
                <c:pt idx="0">
                  <c:v>p_634_B_W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measured_powers!$A$253:$A$492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measured_powers!$C$253:$C$492</c:f>
              <c:numCache>
                <c:formatCode>General</c:formatCode>
                <c:ptCount val="240"/>
                <c:pt idx="0">
                  <c:v>24061.875</c:v>
                </c:pt>
                <c:pt idx="1">
                  <c:v>21070.326171875</c:v>
                </c:pt>
                <c:pt idx="2">
                  <c:v>16906.9296875</c:v>
                </c:pt>
                <c:pt idx="3">
                  <c:v>17639.46484375</c:v>
                </c:pt>
                <c:pt idx="4">
                  <c:v>12844.52734375</c:v>
                </c:pt>
                <c:pt idx="5">
                  <c:v>13685.478515625</c:v>
                </c:pt>
                <c:pt idx="6">
                  <c:v>12618.8525390625</c:v>
                </c:pt>
                <c:pt idx="7">
                  <c:v>13397.4228515625</c:v>
                </c:pt>
                <c:pt idx="8">
                  <c:v>13284.2763671875</c:v>
                </c:pt>
                <c:pt idx="9">
                  <c:v>14527.3642578125</c:v>
                </c:pt>
                <c:pt idx="10">
                  <c:v>17236.58984375</c:v>
                </c:pt>
                <c:pt idx="11">
                  <c:v>20626.2421875</c:v>
                </c:pt>
                <c:pt idx="12">
                  <c:v>20589.248046875</c:v>
                </c:pt>
                <c:pt idx="13">
                  <c:v>20078.162109375</c:v>
                </c:pt>
                <c:pt idx="14">
                  <c:v>18130.943359375</c:v>
                </c:pt>
                <c:pt idx="15">
                  <c:v>13104.861328125</c:v>
                </c:pt>
                <c:pt idx="16">
                  <c:v>9822.8447265625</c:v>
                </c:pt>
                <c:pt idx="17">
                  <c:v>10162.3720703125</c:v>
                </c:pt>
                <c:pt idx="18">
                  <c:v>1091.21801757812</c:v>
                </c:pt>
                <c:pt idx="19">
                  <c:v>-5909.724609375</c:v>
                </c:pt>
                <c:pt idx="20">
                  <c:v>-6593.23388671875</c:v>
                </c:pt>
                <c:pt idx="21">
                  <c:v>-8322.779296875</c:v>
                </c:pt>
                <c:pt idx="22">
                  <c:v>-14358.884765625</c:v>
                </c:pt>
                <c:pt idx="23">
                  <c:v>-14412.7109375</c:v>
                </c:pt>
                <c:pt idx="24">
                  <c:v>-16456.05859375</c:v>
                </c:pt>
                <c:pt idx="25">
                  <c:v>-14544.5615234375</c:v>
                </c:pt>
                <c:pt idx="26">
                  <c:v>-16135.2607421875</c:v>
                </c:pt>
                <c:pt idx="27">
                  <c:v>-19971.00390625</c:v>
                </c:pt>
                <c:pt idx="28">
                  <c:v>-21636.98828125</c:v>
                </c:pt>
                <c:pt idx="29">
                  <c:v>-19391.962890625</c:v>
                </c:pt>
                <c:pt idx="30">
                  <c:v>-12089.2802734375</c:v>
                </c:pt>
                <c:pt idx="31">
                  <c:v>-2302.60400390625</c:v>
                </c:pt>
                <c:pt idx="32">
                  <c:v>8017.62109375</c:v>
                </c:pt>
                <c:pt idx="33">
                  <c:v>19766.1484375</c:v>
                </c:pt>
                <c:pt idx="34">
                  <c:v>31591.451171875</c:v>
                </c:pt>
                <c:pt idx="35">
                  <c:v>41113.49609375</c:v>
                </c:pt>
                <c:pt idx="36">
                  <c:v>45574.859375</c:v>
                </c:pt>
                <c:pt idx="37">
                  <c:v>41938.30078125</c:v>
                </c:pt>
                <c:pt idx="38">
                  <c:v>40313.37890625</c:v>
                </c:pt>
                <c:pt idx="39">
                  <c:v>44248.85546875</c:v>
                </c:pt>
                <c:pt idx="40">
                  <c:v>47861.02734375</c:v>
                </c:pt>
                <c:pt idx="41">
                  <c:v>52568.421875</c:v>
                </c:pt>
                <c:pt idx="42">
                  <c:v>49031.453125</c:v>
                </c:pt>
                <c:pt idx="43">
                  <c:v>43836.2890625</c:v>
                </c:pt>
                <c:pt idx="44">
                  <c:v>43728.03125</c:v>
                </c:pt>
                <c:pt idx="45">
                  <c:v>34720.90234375</c:v>
                </c:pt>
                <c:pt idx="46">
                  <c:v>34372.21875</c:v>
                </c:pt>
                <c:pt idx="47">
                  <c:v>30344.947265625</c:v>
                </c:pt>
                <c:pt idx="48">
                  <c:v>27296.84375</c:v>
                </c:pt>
                <c:pt idx="49">
                  <c:v>22218.744140625</c:v>
                </c:pt>
                <c:pt idx="50">
                  <c:v>16422.611328125</c:v>
                </c:pt>
                <c:pt idx="51">
                  <c:v>16165.2255859375</c:v>
                </c:pt>
                <c:pt idx="52">
                  <c:v>15258.1083984375</c:v>
                </c:pt>
                <c:pt idx="53">
                  <c:v>15478.857421875</c:v>
                </c:pt>
                <c:pt idx="54">
                  <c:v>15549.134765625</c:v>
                </c:pt>
                <c:pt idx="55">
                  <c:v>14907.6845703125</c:v>
                </c:pt>
                <c:pt idx="56">
                  <c:v>14986.880859375</c:v>
                </c:pt>
                <c:pt idx="57">
                  <c:v>15178.7861328125</c:v>
                </c:pt>
                <c:pt idx="58">
                  <c:v>16917.568359375</c:v>
                </c:pt>
                <c:pt idx="59">
                  <c:v>18658.296875</c:v>
                </c:pt>
                <c:pt idx="60">
                  <c:v>21264.453125</c:v>
                </c:pt>
                <c:pt idx="61">
                  <c:v>20886.267578125</c:v>
                </c:pt>
                <c:pt idx="62">
                  <c:v>18715.591796875</c:v>
                </c:pt>
                <c:pt idx="63">
                  <c:v>17473.46875</c:v>
                </c:pt>
                <c:pt idx="64">
                  <c:v>16636.669921875</c:v>
                </c:pt>
                <c:pt idx="65">
                  <c:v>13585.115234375</c:v>
                </c:pt>
                <c:pt idx="66">
                  <c:v>7884.93115234375</c:v>
                </c:pt>
                <c:pt idx="67">
                  <c:v>12866.927734375</c:v>
                </c:pt>
                <c:pt idx="68">
                  <c:v>24141.318359375</c:v>
                </c:pt>
                <c:pt idx="69">
                  <c:v>25507.208984375</c:v>
                </c:pt>
                <c:pt idx="70">
                  <c:v>29997.736328125</c:v>
                </c:pt>
                <c:pt idx="71">
                  <c:v>25698.072265625</c:v>
                </c:pt>
                <c:pt idx="72">
                  <c:v>41051.6484375</c:v>
                </c:pt>
                <c:pt idx="73">
                  <c:v>52095.2421875</c:v>
                </c:pt>
                <c:pt idx="74">
                  <c:v>56963.77734375</c:v>
                </c:pt>
                <c:pt idx="75">
                  <c:v>55090.8046875</c:v>
                </c:pt>
                <c:pt idx="76">
                  <c:v>57346.11328125</c:v>
                </c:pt>
                <c:pt idx="77">
                  <c:v>64666.65234375</c:v>
                </c:pt>
                <c:pt idx="78">
                  <c:v>78446.6015625</c:v>
                </c:pt>
                <c:pt idx="79">
                  <c:v>82061.5625</c:v>
                </c:pt>
                <c:pt idx="80">
                  <c:v>87109.3515625</c:v>
                </c:pt>
                <c:pt idx="81">
                  <c:v>88410.015625</c:v>
                </c:pt>
                <c:pt idx="82">
                  <c:v>103013.34375</c:v>
                </c:pt>
                <c:pt idx="83">
                  <c:v>111855.7578125</c:v>
                </c:pt>
                <c:pt idx="84">
                  <c:v>111393.0390625</c:v>
                </c:pt>
                <c:pt idx="85">
                  <c:v>106026.859375</c:v>
                </c:pt>
                <c:pt idx="86">
                  <c:v>113231.203125</c:v>
                </c:pt>
                <c:pt idx="87">
                  <c:v>127321.53125</c:v>
                </c:pt>
                <c:pt idx="88">
                  <c:v>119312.78125</c:v>
                </c:pt>
                <c:pt idx="89">
                  <c:v>111337.0859375</c:v>
                </c:pt>
                <c:pt idx="90">
                  <c:v>108439.8359375</c:v>
                </c:pt>
                <c:pt idx="91">
                  <c:v>93202.2421875</c:v>
                </c:pt>
                <c:pt idx="92">
                  <c:v>79814.625</c:v>
                </c:pt>
                <c:pt idx="93">
                  <c:v>72635.375</c:v>
                </c:pt>
                <c:pt idx="94">
                  <c:v>68042.078125</c:v>
                </c:pt>
                <c:pt idx="95">
                  <c:v>55757.26953125</c:v>
                </c:pt>
                <c:pt idx="96">
                  <c:v>42371.3671875</c:v>
                </c:pt>
                <c:pt idx="97">
                  <c:v>37658.6875</c:v>
                </c:pt>
                <c:pt idx="98">
                  <c:v>35651.375</c:v>
                </c:pt>
                <c:pt idx="99">
                  <c:v>33138.98828125</c:v>
                </c:pt>
                <c:pt idx="100">
                  <c:v>28441.314453125</c:v>
                </c:pt>
                <c:pt idx="101">
                  <c:v>36512.73828125</c:v>
                </c:pt>
                <c:pt idx="102">
                  <c:v>32592.52734375</c:v>
                </c:pt>
                <c:pt idx="103">
                  <c:v>30029.662109375</c:v>
                </c:pt>
                <c:pt idx="104">
                  <c:v>27070.294921875</c:v>
                </c:pt>
                <c:pt idx="105">
                  <c:v>25187.142578125</c:v>
                </c:pt>
                <c:pt idx="106">
                  <c:v>24774.10546875</c:v>
                </c:pt>
                <c:pt idx="107">
                  <c:v>23243.1875</c:v>
                </c:pt>
                <c:pt idx="108">
                  <c:v>21069.015625</c:v>
                </c:pt>
                <c:pt idx="109">
                  <c:v>20376.66796875</c:v>
                </c:pt>
                <c:pt idx="110">
                  <c:v>18642.712890625</c:v>
                </c:pt>
                <c:pt idx="111">
                  <c:v>15406.603515625</c:v>
                </c:pt>
                <c:pt idx="112">
                  <c:v>11912.5419921875</c:v>
                </c:pt>
                <c:pt idx="113">
                  <c:v>8906.048828125</c:v>
                </c:pt>
                <c:pt idx="114">
                  <c:v>4927.66650390625</c:v>
                </c:pt>
                <c:pt idx="115">
                  <c:v>-1709.61791992187</c:v>
                </c:pt>
                <c:pt idx="116">
                  <c:v>-1493.88195800781</c:v>
                </c:pt>
                <c:pt idx="117">
                  <c:v>-6345.21337890625</c:v>
                </c:pt>
                <c:pt idx="118">
                  <c:v>-7846.130859375</c:v>
                </c:pt>
                <c:pt idx="119">
                  <c:v>-6872.64013671875</c:v>
                </c:pt>
                <c:pt idx="120">
                  <c:v>-11228.8095703125</c:v>
                </c:pt>
                <c:pt idx="121">
                  <c:v>-8606.181640625</c:v>
                </c:pt>
                <c:pt idx="122">
                  <c:v>-10093.7265625</c:v>
                </c:pt>
                <c:pt idx="123">
                  <c:v>-349.91323852539</c:v>
                </c:pt>
                <c:pt idx="124">
                  <c:v>-1456.78723144531</c:v>
                </c:pt>
                <c:pt idx="125">
                  <c:v>-865.9072265625</c:v>
                </c:pt>
                <c:pt idx="126">
                  <c:v>1000.32458496093</c:v>
                </c:pt>
                <c:pt idx="127">
                  <c:v>6964.330078125</c:v>
                </c:pt>
                <c:pt idx="128">
                  <c:v>7037.3564453125</c:v>
                </c:pt>
                <c:pt idx="129">
                  <c:v>9704.6220703125</c:v>
                </c:pt>
                <c:pt idx="130">
                  <c:v>16559.58203125</c:v>
                </c:pt>
                <c:pt idx="131">
                  <c:v>22570.806640625</c:v>
                </c:pt>
                <c:pt idx="132">
                  <c:v>30849.900390625</c:v>
                </c:pt>
                <c:pt idx="133">
                  <c:v>31197.921875</c:v>
                </c:pt>
                <c:pt idx="134">
                  <c:v>28974.279296875</c:v>
                </c:pt>
                <c:pt idx="135">
                  <c:v>29268.76171875</c:v>
                </c:pt>
                <c:pt idx="136">
                  <c:v>29191.67578125</c:v>
                </c:pt>
                <c:pt idx="137">
                  <c:v>29722.6484375</c:v>
                </c:pt>
                <c:pt idx="138">
                  <c:v>28986.96484375</c:v>
                </c:pt>
                <c:pt idx="139">
                  <c:v>29089.322265625</c:v>
                </c:pt>
                <c:pt idx="140">
                  <c:v>28336.892578125</c:v>
                </c:pt>
                <c:pt idx="141">
                  <c:v>27490.380859375</c:v>
                </c:pt>
                <c:pt idx="142">
                  <c:v>28931.80859375</c:v>
                </c:pt>
                <c:pt idx="143">
                  <c:v>26133.5</c:v>
                </c:pt>
                <c:pt idx="144">
                  <c:v>20165.728515625</c:v>
                </c:pt>
                <c:pt idx="145">
                  <c:v>19156.265625</c:v>
                </c:pt>
                <c:pt idx="146">
                  <c:v>16266.8896484375</c:v>
                </c:pt>
                <c:pt idx="147">
                  <c:v>15659.94140625</c:v>
                </c:pt>
                <c:pt idx="148">
                  <c:v>16126.9521484375</c:v>
                </c:pt>
                <c:pt idx="149">
                  <c:v>12359.1435546875</c:v>
                </c:pt>
                <c:pt idx="150">
                  <c:v>13063.3427734375</c:v>
                </c:pt>
                <c:pt idx="151">
                  <c:v>12550.296875</c:v>
                </c:pt>
                <c:pt idx="152">
                  <c:v>13111.48828125</c:v>
                </c:pt>
                <c:pt idx="153">
                  <c:v>13346.86328125</c:v>
                </c:pt>
                <c:pt idx="154">
                  <c:v>16491.875</c:v>
                </c:pt>
                <c:pt idx="155">
                  <c:v>17776.626953125</c:v>
                </c:pt>
                <c:pt idx="156">
                  <c:v>19478.583984375</c:v>
                </c:pt>
                <c:pt idx="157">
                  <c:v>20767.654296875</c:v>
                </c:pt>
                <c:pt idx="158">
                  <c:v>20122.26171875</c:v>
                </c:pt>
                <c:pt idx="159">
                  <c:v>18616.541015625</c:v>
                </c:pt>
                <c:pt idx="160">
                  <c:v>15756.546875</c:v>
                </c:pt>
                <c:pt idx="161">
                  <c:v>14763.90234375</c:v>
                </c:pt>
                <c:pt idx="162">
                  <c:v>14337.0849609375</c:v>
                </c:pt>
                <c:pt idx="163">
                  <c:v>8699.6279296875</c:v>
                </c:pt>
                <c:pt idx="164">
                  <c:v>3699.05053710937</c:v>
                </c:pt>
                <c:pt idx="165">
                  <c:v>8906.630859375</c:v>
                </c:pt>
                <c:pt idx="166">
                  <c:v>4989.70947265625</c:v>
                </c:pt>
                <c:pt idx="167">
                  <c:v>8607.6416015625</c:v>
                </c:pt>
                <c:pt idx="168">
                  <c:v>4573.4609375</c:v>
                </c:pt>
                <c:pt idx="169">
                  <c:v>6464.05908203125</c:v>
                </c:pt>
                <c:pt idx="170">
                  <c:v>8368.7333984375</c:v>
                </c:pt>
                <c:pt idx="171">
                  <c:v>8381.916015625</c:v>
                </c:pt>
                <c:pt idx="172">
                  <c:v>5749.787109375</c:v>
                </c:pt>
                <c:pt idx="173">
                  <c:v>4656.52783203125</c:v>
                </c:pt>
                <c:pt idx="174">
                  <c:v>3767.97802734375</c:v>
                </c:pt>
                <c:pt idx="175">
                  <c:v>8045.1962890625</c:v>
                </c:pt>
                <c:pt idx="176">
                  <c:v>5109.53125</c:v>
                </c:pt>
                <c:pt idx="177">
                  <c:v>9645.2529296875</c:v>
                </c:pt>
                <c:pt idx="178">
                  <c:v>20173.822265625</c:v>
                </c:pt>
                <c:pt idx="179">
                  <c:v>20695.419921875</c:v>
                </c:pt>
                <c:pt idx="180">
                  <c:v>24245.01953125</c:v>
                </c:pt>
                <c:pt idx="181">
                  <c:v>25836.880859375</c:v>
                </c:pt>
                <c:pt idx="182">
                  <c:v>29425.93359375</c:v>
                </c:pt>
                <c:pt idx="183">
                  <c:v>28369.65234375</c:v>
                </c:pt>
                <c:pt idx="184">
                  <c:v>32022.171875</c:v>
                </c:pt>
                <c:pt idx="185">
                  <c:v>30865.00390625</c:v>
                </c:pt>
                <c:pt idx="186">
                  <c:v>31830.322265625</c:v>
                </c:pt>
                <c:pt idx="187">
                  <c:v>27994.63671875</c:v>
                </c:pt>
                <c:pt idx="188">
                  <c:v>29428.51953125</c:v>
                </c:pt>
                <c:pt idx="189">
                  <c:v>26443.982421875</c:v>
                </c:pt>
                <c:pt idx="190">
                  <c:v>28988.759765625</c:v>
                </c:pt>
                <c:pt idx="191">
                  <c:v>26204.42578125</c:v>
                </c:pt>
                <c:pt idx="192">
                  <c:v>18401.373046875</c:v>
                </c:pt>
                <c:pt idx="193">
                  <c:v>17423.3671875</c:v>
                </c:pt>
                <c:pt idx="194">
                  <c:v>15173.4775390625</c:v>
                </c:pt>
                <c:pt idx="195">
                  <c:v>15282.8984375</c:v>
                </c:pt>
                <c:pt idx="196">
                  <c:v>13593.9248046875</c:v>
                </c:pt>
                <c:pt idx="197">
                  <c:v>13454.353515625</c:v>
                </c:pt>
                <c:pt idx="198">
                  <c:v>14169.84375</c:v>
                </c:pt>
                <c:pt idx="199">
                  <c:v>12571.2607421875</c:v>
                </c:pt>
                <c:pt idx="200">
                  <c:v>13406.3232421875</c:v>
                </c:pt>
                <c:pt idx="201">
                  <c:v>15578.685546875</c:v>
                </c:pt>
                <c:pt idx="202">
                  <c:v>16416.669921875</c:v>
                </c:pt>
                <c:pt idx="203">
                  <c:v>16605.513671875</c:v>
                </c:pt>
                <c:pt idx="204">
                  <c:v>17393.04296875</c:v>
                </c:pt>
                <c:pt idx="205">
                  <c:v>18365.173828125</c:v>
                </c:pt>
                <c:pt idx="206">
                  <c:v>15972.1396484375</c:v>
                </c:pt>
                <c:pt idx="207">
                  <c:v>15305.697265625</c:v>
                </c:pt>
                <c:pt idx="208">
                  <c:v>7705.8037109375</c:v>
                </c:pt>
                <c:pt idx="209">
                  <c:v>1302.48413085937</c:v>
                </c:pt>
                <c:pt idx="210">
                  <c:v>-5058.68310546875</c:v>
                </c:pt>
                <c:pt idx="211">
                  <c:v>-10937.6015625</c:v>
                </c:pt>
                <c:pt idx="212">
                  <c:v>-15644.33203125</c:v>
                </c:pt>
                <c:pt idx="213">
                  <c:v>-16941.21484375</c:v>
                </c:pt>
                <c:pt idx="214">
                  <c:v>-17312.5859375</c:v>
                </c:pt>
                <c:pt idx="215">
                  <c:v>-20396.232421875</c:v>
                </c:pt>
                <c:pt idx="216">
                  <c:v>-16152.533203125</c:v>
                </c:pt>
                <c:pt idx="217">
                  <c:v>-8314.890625</c:v>
                </c:pt>
                <c:pt idx="218">
                  <c:v>-5531.37841796875</c:v>
                </c:pt>
                <c:pt idx="219">
                  <c:v>-1622.29089355468</c:v>
                </c:pt>
                <c:pt idx="220">
                  <c:v>1732.4267578125</c:v>
                </c:pt>
                <c:pt idx="221">
                  <c:v>14383.12109375</c:v>
                </c:pt>
                <c:pt idx="222">
                  <c:v>18770.990234375</c:v>
                </c:pt>
                <c:pt idx="223">
                  <c:v>23063.35546875</c:v>
                </c:pt>
                <c:pt idx="224">
                  <c:v>27643.2265625</c:v>
                </c:pt>
                <c:pt idx="225">
                  <c:v>36091.69921875</c:v>
                </c:pt>
                <c:pt idx="226">
                  <c:v>47319.6796875</c:v>
                </c:pt>
                <c:pt idx="227">
                  <c:v>45889.77734375</c:v>
                </c:pt>
                <c:pt idx="228">
                  <c:v>59052.46484375</c:v>
                </c:pt>
                <c:pt idx="229">
                  <c:v>72769.75</c:v>
                </c:pt>
                <c:pt idx="230">
                  <c:v>74827.015625</c:v>
                </c:pt>
                <c:pt idx="231">
                  <c:v>69191.953125</c:v>
                </c:pt>
                <c:pt idx="232">
                  <c:v>68864.171875</c:v>
                </c:pt>
                <c:pt idx="233">
                  <c:v>66409.609375</c:v>
                </c:pt>
                <c:pt idx="234">
                  <c:v>65744.1015625</c:v>
                </c:pt>
                <c:pt idx="235">
                  <c:v>60378.99609375</c:v>
                </c:pt>
                <c:pt idx="236">
                  <c:v>52931.6171875</c:v>
                </c:pt>
                <c:pt idx="237">
                  <c:v>45327.99609375</c:v>
                </c:pt>
                <c:pt idx="238">
                  <c:v>42672.36328125</c:v>
                </c:pt>
                <c:pt idx="239">
                  <c:v>35143.7109375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0B-4AFC-BC15-B70EA5910442}"/>
            </c:ext>
          </c:extLst>
        </c:ser>
        <c:ser>
          <c:idx val="2"/>
          <c:order val="2"/>
          <c:tx>
            <c:strRef>
              <c:f>measured_powers!$D$252</c:f>
              <c:strCache>
                <c:ptCount val="1"/>
                <c:pt idx="0">
                  <c:v>p_634_C_W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measured_powers!$A$253:$A$492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measured_powers!$D$253:$D$492</c:f>
              <c:numCache>
                <c:formatCode>General</c:formatCode>
                <c:ptCount val="240"/>
                <c:pt idx="0">
                  <c:v>26332.78515625</c:v>
                </c:pt>
                <c:pt idx="1">
                  <c:v>25641.20703125</c:v>
                </c:pt>
                <c:pt idx="2">
                  <c:v>22403.7890625</c:v>
                </c:pt>
                <c:pt idx="3">
                  <c:v>22278.935546875</c:v>
                </c:pt>
                <c:pt idx="4">
                  <c:v>22118.52734375</c:v>
                </c:pt>
                <c:pt idx="5">
                  <c:v>22126.78515625</c:v>
                </c:pt>
                <c:pt idx="6">
                  <c:v>22236.28125</c:v>
                </c:pt>
                <c:pt idx="7">
                  <c:v>22705.95703125</c:v>
                </c:pt>
                <c:pt idx="8">
                  <c:v>23447.771484375</c:v>
                </c:pt>
                <c:pt idx="9">
                  <c:v>21815.0390625</c:v>
                </c:pt>
                <c:pt idx="10">
                  <c:v>21684.677734375</c:v>
                </c:pt>
                <c:pt idx="11">
                  <c:v>20463.59765625</c:v>
                </c:pt>
                <c:pt idx="12">
                  <c:v>20520.822265625</c:v>
                </c:pt>
                <c:pt idx="13">
                  <c:v>20319.994140625</c:v>
                </c:pt>
                <c:pt idx="14">
                  <c:v>21460.099609375</c:v>
                </c:pt>
                <c:pt idx="15">
                  <c:v>16785.607421875</c:v>
                </c:pt>
                <c:pt idx="16">
                  <c:v>12395.7890625</c:v>
                </c:pt>
                <c:pt idx="17">
                  <c:v>5749.57763671875</c:v>
                </c:pt>
                <c:pt idx="18">
                  <c:v>-608.558837890625</c:v>
                </c:pt>
                <c:pt idx="19">
                  <c:v>-8010.09375</c:v>
                </c:pt>
                <c:pt idx="20">
                  <c:v>-14325.283203125</c:v>
                </c:pt>
                <c:pt idx="21">
                  <c:v>-18089.349609375</c:v>
                </c:pt>
                <c:pt idx="22">
                  <c:v>-23955.00390625</c:v>
                </c:pt>
                <c:pt idx="23">
                  <c:v>-23616.025390625</c:v>
                </c:pt>
                <c:pt idx="24">
                  <c:v>-25499.4765625</c:v>
                </c:pt>
                <c:pt idx="25">
                  <c:v>-28403.498046875</c:v>
                </c:pt>
                <c:pt idx="26">
                  <c:v>-31253.13671875</c:v>
                </c:pt>
                <c:pt idx="27">
                  <c:v>-33784.33984375</c:v>
                </c:pt>
                <c:pt idx="28">
                  <c:v>-30134.3359375</c:v>
                </c:pt>
                <c:pt idx="29">
                  <c:v>-23613.9453125</c:v>
                </c:pt>
                <c:pt idx="30">
                  <c:v>-9354.65234375</c:v>
                </c:pt>
                <c:pt idx="31">
                  <c:v>-1702.98254394531</c:v>
                </c:pt>
                <c:pt idx="32">
                  <c:v>-986.43212890625</c:v>
                </c:pt>
                <c:pt idx="33">
                  <c:v>9327.4306640625</c:v>
                </c:pt>
                <c:pt idx="34">
                  <c:v>16871.017578125</c:v>
                </c:pt>
                <c:pt idx="35">
                  <c:v>35089.90625</c:v>
                </c:pt>
                <c:pt idx="36">
                  <c:v>43543.703125</c:v>
                </c:pt>
                <c:pt idx="37">
                  <c:v>51669.7578125</c:v>
                </c:pt>
                <c:pt idx="38">
                  <c:v>49662.80859375</c:v>
                </c:pt>
                <c:pt idx="39">
                  <c:v>45645.34375</c:v>
                </c:pt>
                <c:pt idx="40">
                  <c:v>39122.140625</c:v>
                </c:pt>
                <c:pt idx="41">
                  <c:v>40782.6796875</c:v>
                </c:pt>
                <c:pt idx="42">
                  <c:v>38642.109375</c:v>
                </c:pt>
                <c:pt idx="43">
                  <c:v>40095.87109375</c:v>
                </c:pt>
                <c:pt idx="44">
                  <c:v>38015.46875</c:v>
                </c:pt>
                <c:pt idx="45">
                  <c:v>34418.59375</c:v>
                </c:pt>
                <c:pt idx="46">
                  <c:v>31317.61328125</c:v>
                </c:pt>
                <c:pt idx="47">
                  <c:v>28734.80859375</c:v>
                </c:pt>
                <c:pt idx="48">
                  <c:v>24540.0078125</c:v>
                </c:pt>
                <c:pt idx="49">
                  <c:v>23031.265625</c:v>
                </c:pt>
                <c:pt idx="50">
                  <c:v>21518.255859375</c:v>
                </c:pt>
                <c:pt idx="51">
                  <c:v>21228.38671875</c:v>
                </c:pt>
                <c:pt idx="52">
                  <c:v>21178.0546875</c:v>
                </c:pt>
                <c:pt idx="53">
                  <c:v>19757.392578125</c:v>
                </c:pt>
                <c:pt idx="54">
                  <c:v>19939.185546875</c:v>
                </c:pt>
                <c:pt idx="55">
                  <c:v>19747.685546875</c:v>
                </c:pt>
                <c:pt idx="56">
                  <c:v>21780.978515625</c:v>
                </c:pt>
                <c:pt idx="57">
                  <c:v>19570.529296875</c:v>
                </c:pt>
                <c:pt idx="58">
                  <c:v>18260.41796875</c:v>
                </c:pt>
                <c:pt idx="59">
                  <c:v>18016.9921875</c:v>
                </c:pt>
                <c:pt idx="60">
                  <c:v>20082.32421875</c:v>
                </c:pt>
                <c:pt idx="61">
                  <c:v>22059.0703125</c:v>
                </c:pt>
                <c:pt idx="62">
                  <c:v>18493.57421875</c:v>
                </c:pt>
                <c:pt idx="63">
                  <c:v>14774.9033203125</c:v>
                </c:pt>
                <c:pt idx="64">
                  <c:v>10710.306640625</c:v>
                </c:pt>
                <c:pt idx="65">
                  <c:v>4151.9248046875</c:v>
                </c:pt>
                <c:pt idx="66">
                  <c:v>2047.25720214843</c:v>
                </c:pt>
                <c:pt idx="67">
                  <c:v>-3829.46899414062</c:v>
                </c:pt>
                <c:pt idx="68">
                  <c:v>-3579.76025390625</c:v>
                </c:pt>
                <c:pt idx="69">
                  <c:v>-2448.95458984375</c:v>
                </c:pt>
                <c:pt idx="70">
                  <c:v>-9906.302734375</c:v>
                </c:pt>
                <c:pt idx="71">
                  <c:v>-14778.490234375</c:v>
                </c:pt>
                <c:pt idx="72">
                  <c:v>-15137.8671875</c:v>
                </c:pt>
                <c:pt idx="73">
                  <c:v>-9508.666015625</c:v>
                </c:pt>
                <c:pt idx="74">
                  <c:v>-3840.20947265625</c:v>
                </c:pt>
                <c:pt idx="75">
                  <c:v>8468.3056640625</c:v>
                </c:pt>
                <c:pt idx="76">
                  <c:v>13603.4931640625</c:v>
                </c:pt>
                <c:pt idx="77">
                  <c:v>22494.59375</c:v>
                </c:pt>
                <c:pt idx="78">
                  <c:v>31775.15625</c:v>
                </c:pt>
                <c:pt idx="79">
                  <c:v>37157.078125</c:v>
                </c:pt>
                <c:pt idx="80">
                  <c:v>40963.5</c:v>
                </c:pt>
                <c:pt idx="81">
                  <c:v>67482.5</c:v>
                </c:pt>
                <c:pt idx="82">
                  <c:v>82726.484375</c:v>
                </c:pt>
                <c:pt idx="83">
                  <c:v>99151.046875</c:v>
                </c:pt>
                <c:pt idx="84">
                  <c:v>109481.5078125</c:v>
                </c:pt>
                <c:pt idx="85">
                  <c:v>110586.2734375</c:v>
                </c:pt>
                <c:pt idx="86">
                  <c:v>121288.890625</c:v>
                </c:pt>
                <c:pt idx="87">
                  <c:v>119820.546875</c:v>
                </c:pt>
                <c:pt idx="88">
                  <c:v>113088.7578125</c:v>
                </c:pt>
                <c:pt idx="89">
                  <c:v>107885.2578125</c:v>
                </c:pt>
                <c:pt idx="90">
                  <c:v>94293.703125</c:v>
                </c:pt>
                <c:pt idx="91">
                  <c:v>85432.046875</c:v>
                </c:pt>
                <c:pt idx="92">
                  <c:v>74231.09375</c:v>
                </c:pt>
                <c:pt idx="93">
                  <c:v>66841.28125</c:v>
                </c:pt>
                <c:pt idx="94">
                  <c:v>63497.015625</c:v>
                </c:pt>
                <c:pt idx="95">
                  <c:v>56276.58984375</c:v>
                </c:pt>
                <c:pt idx="96">
                  <c:v>47867.515625</c:v>
                </c:pt>
                <c:pt idx="97">
                  <c:v>44671.6484375</c:v>
                </c:pt>
                <c:pt idx="98">
                  <c:v>38681.37890625</c:v>
                </c:pt>
                <c:pt idx="99">
                  <c:v>32989.921875</c:v>
                </c:pt>
                <c:pt idx="100">
                  <c:v>34831.48828125</c:v>
                </c:pt>
                <c:pt idx="101">
                  <c:v>39642.4375</c:v>
                </c:pt>
                <c:pt idx="102">
                  <c:v>38708.62109375</c:v>
                </c:pt>
                <c:pt idx="103">
                  <c:v>37914.04296875</c:v>
                </c:pt>
                <c:pt idx="104">
                  <c:v>33287.04296875</c:v>
                </c:pt>
                <c:pt idx="105">
                  <c:v>29997.546875</c:v>
                </c:pt>
                <c:pt idx="106">
                  <c:v>28280.896484375</c:v>
                </c:pt>
                <c:pt idx="107">
                  <c:v>25521.138671875</c:v>
                </c:pt>
                <c:pt idx="108">
                  <c:v>22645.412109375</c:v>
                </c:pt>
                <c:pt idx="109">
                  <c:v>25279.064453125</c:v>
                </c:pt>
                <c:pt idx="110">
                  <c:v>20600.626953125</c:v>
                </c:pt>
                <c:pt idx="111">
                  <c:v>18203.513671875</c:v>
                </c:pt>
                <c:pt idx="112">
                  <c:v>13507.0400390625</c:v>
                </c:pt>
                <c:pt idx="113">
                  <c:v>8401.1220703125</c:v>
                </c:pt>
                <c:pt idx="114">
                  <c:v>1225.220703125</c:v>
                </c:pt>
                <c:pt idx="115">
                  <c:v>-598.35308837890602</c:v>
                </c:pt>
                <c:pt idx="116">
                  <c:v>-142.06277465820301</c:v>
                </c:pt>
                <c:pt idx="117">
                  <c:v>-4449.94189453125</c:v>
                </c:pt>
                <c:pt idx="118">
                  <c:v>-9653.927734375</c:v>
                </c:pt>
                <c:pt idx="119">
                  <c:v>-13592.3896484375</c:v>
                </c:pt>
                <c:pt idx="120">
                  <c:v>-14141.0498046875</c:v>
                </c:pt>
                <c:pt idx="121">
                  <c:v>-20533.38671875</c:v>
                </c:pt>
                <c:pt idx="122">
                  <c:v>-21483.517578125</c:v>
                </c:pt>
                <c:pt idx="123">
                  <c:v>-16530.07421875</c:v>
                </c:pt>
                <c:pt idx="124">
                  <c:v>-15415.88671875</c:v>
                </c:pt>
                <c:pt idx="125">
                  <c:v>-15641.658203125</c:v>
                </c:pt>
                <c:pt idx="126">
                  <c:v>-15068.5302734375</c:v>
                </c:pt>
                <c:pt idx="127">
                  <c:v>-2164.982421875</c:v>
                </c:pt>
                <c:pt idx="128">
                  <c:v>5251.6259765625</c:v>
                </c:pt>
                <c:pt idx="129">
                  <c:v>7870.23291015625</c:v>
                </c:pt>
                <c:pt idx="130">
                  <c:v>16541.4609375</c:v>
                </c:pt>
                <c:pt idx="131">
                  <c:v>23195.927734375</c:v>
                </c:pt>
                <c:pt idx="132">
                  <c:v>30281.052734375</c:v>
                </c:pt>
                <c:pt idx="133">
                  <c:v>32246.716796875</c:v>
                </c:pt>
                <c:pt idx="134">
                  <c:v>31690.30078125</c:v>
                </c:pt>
                <c:pt idx="135">
                  <c:v>34181.5</c:v>
                </c:pt>
                <c:pt idx="136">
                  <c:v>33904.83984375</c:v>
                </c:pt>
                <c:pt idx="137">
                  <c:v>34712.34375</c:v>
                </c:pt>
                <c:pt idx="138">
                  <c:v>32624.501953125</c:v>
                </c:pt>
                <c:pt idx="139">
                  <c:v>30896.337890625</c:v>
                </c:pt>
                <c:pt idx="140">
                  <c:v>29317.419921875</c:v>
                </c:pt>
                <c:pt idx="141">
                  <c:v>29826.798828125</c:v>
                </c:pt>
                <c:pt idx="142">
                  <c:v>25977.541015625</c:v>
                </c:pt>
                <c:pt idx="143">
                  <c:v>26333.544921875</c:v>
                </c:pt>
                <c:pt idx="144">
                  <c:v>23969.458984375</c:v>
                </c:pt>
                <c:pt idx="145">
                  <c:v>20689.955078125</c:v>
                </c:pt>
                <c:pt idx="146">
                  <c:v>19776.421875</c:v>
                </c:pt>
                <c:pt idx="147">
                  <c:v>19085.966796875</c:v>
                </c:pt>
                <c:pt idx="148">
                  <c:v>22468.8984375</c:v>
                </c:pt>
                <c:pt idx="149">
                  <c:v>19625.32421875</c:v>
                </c:pt>
                <c:pt idx="150">
                  <c:v>20454.359375</c:v>
                </c:pt>
                <c:pt idx="151">
                  <c:v>20449.662109375</c:v>
                </c:pt>
                <c:pt idx="152">
                  <c:v>19584.5234375</c:v>
                </c:pt>
                <c:pt idx="153">
                  <c:v>17153.224609375</c:v>
                </c:pt>
                <c:pt idx="154">
                  <c:v>18033.5</c:v>
                </c:pt>
                <c:pt idx="155">
                  <c:v>20934.40234375</c:v>
                </c:pt>
                <c:pt idx="156">
                  <c:v>21848.890625</c:v>
                </c:pt>
                <c:pt idx="157">
                  <c:v>21722.5390625</c:v>
                </c:pt>
                <c:pt idx="158">
                  <c:v>22513.220703125</c:v>
                </c:pt>
                <c:pt idx="159">
                  <c:v>17662.66015625</c:v>
                </c:pt>
                <c:pt idx="160">
                  <c:v>15341.787109375</c:v>
                </c:pt>
                <c:pt idx="161">
                  <c:v>15279.2353515625</c:v>
                </c:pt>
                <c:pt idx="162">
                  <c:v>10446.779296875</c:v>
                </c:pt>
                <c:pt idx="163">
                  <c:v>6802.98876953125</c:v>
                </c:pt>
                <c:pt idx="164">
                  <c:v>3824.60693359375</c:v>
                </c:pt>
                <c:pt idx="165">
                  <c:v>8734.890625</c:v>
                </c:pt>
                <c:pt idx="166">
                  <c:v>4363.43212890625</c:v>
                </c:pt>
                <c:pt idx="167">
                  <c:v>3725.9453125</c:v>
                </c:pt>
                <c:pt idx="168">
                  <c:v>4387.78955078125</c:v>
                </c:pt>
                <c:pt idx="169">
                  <c:v>-772.66735839843705</c:v>
                </c:pt>
                <c:pt idx="170">
                  <c:v>2038.54711914062</c:v>
                </c:pt>
                <c:pt idx="171">
                  <c:v>1390.73425292968</c:v>
                </c:pt>
                <c:pt idx="172">
                  <c:v>4243.06640625</c:v>
                </c:pt>
                <c:pt idx="173">
                  <c:v>4574.0263671875</c:v>
                </c:pt>
                <c:pt idx="174">
                  <c:v>3035.76733398437</c:v>
                </c:pt>
                <c:pt idx="175">
                  <c:v>3895.626953125</c:v>
                </c:pt>
                <c:pt idx="176">
                  <c:v>6295.85888671875</c:v>
                </c:pt>
                <c:pt idx="177">
                  <c:v>8832.57421875</c:v>
                </c:pt>
                <c:pt idx="178">
                  <c:v>17569.18359375</c:v>
                </c:pt>
                <c:pt idx="179">
                  <c:v>27517.072265625</c:v>
                </c:pt>
                <c:pt idx="180">
                  <c:v>32278.1328125</c:v>
                </c:pt>
                <c:pt idx="181">
                  <c:v>35767.01953125</c:v>
                </c:pt>
                <c:pt idx="182">
                  <c:v>34196.7734375</c:v>
                </c:pt>
                <c:pt idx="183">
                  <c:v>32743.39453125</c:v>
                </c:pt>
                <c:pt idx="184">
                  <c:v>33212.74609375</c:v>
                </c:pt>
                <c:pt idx="185">
                  <c:v>36063.12109375</c:v>
                </c:pt>
                <c:pt idx="186">
                  <c:v>36565.77734375</c:v>
                </c:pt>
                <c:pt idx="187">
                  <c:v>29723.01171875</c:v>
                </c:pt>
                <c:pt idx="188">
                  <c:v>31766.1875</c:v>
                </c:pt>
                <c:pt idx="189">
                  <c:v>27994.939453125</c:v>
                </c:pt>
                <c:pt idx="190">
                  <c:v>25415.736328125</c:v>
                </c:pt>
                <c:pt idx="191">
                  <c:v>23109.677734375</c:v>
                </c:pt>
                <c:pt idx="192">
                  <c:v>21980.154296875</c:v>
                </c:pt>
                <c:pt idx="193">
                  <c:v>22551.662109375</c:v>
                </c:pt>
                <c:pt idx="194">
                  <c:v>20306.853515625</c:v>
                </c:pt>
                <c:pt idx="195">
                  <c:v>20587.224609375</c:v>
                </c:pt>
                <c:pt idx="196">
                  <c:v>20735.365234375</c:v>
                </c:pt>
                <c:pt idx="197">
                  <c:v>20258.279296875</c:v>
                </c:pt>
                <c:pt idx="198">
                  <c:v>21582.109375</c:v>
                </c:pt>
                <c:pt idx="199">
                  <c:v>20770.98046875</c:v>
                </c:pt>
                <c:pt idx="200">
                  <c:v>18885.6171875</c:v>
                </c:pt>
                <c:pt idx="201">
                  <c:v>16961.623046875</c:v>
                </c:pt>
                <c:pt idx="202">
                  <c:v>17797.3828125</c:v>
                </c:pt>
                <c:pt idx="203">
                  <c:v>17083.05859375</c:v>
                </c:pt>
                <c:pt idx="204">
                  <c:v>17176.03125</c:v>
                </c:pt>
                <c:pt idx="205">
                  <c:v>18778.6015625</c:v>
                </c:pt>
                <c:pt idx="206">
                  <c:v>18145.263671875</c:v>
                </c:pt>
                <c:pt idx="207">
                  <c:v>15118.4619140625</c:v>
                </c:pt>
                <c:pt idx="208">
                  <c:v>7483.66357421875</c:v>
                </c:pt>
                <c:pt idx="209">
                  <c:v>637.54095458984295</c:v>
                </c:pt>
                <c:pt idx="210">
                  <c:v>-3062.62524414062</c:v>
                </c:pt>
                <c:pt idx="211">
                  <c:v>-8132.7021484375</c:v>
                </c:pt>
                <c:pt idx="212">
                  <c:v>-17722.669921875</c:v>
                </c:pt>
                <c:pt idx="213">
                  <c:v>-23087.861328125</c:v>
                </c:pt>
                <c:pt idx="214">
                  <c:v>-24105.36328125</c:v>
                </c:pt>
                <c:pt idx="215">
                  <c:v>-22862.71875</c:v>
                </c:pt>
                <c:pt idx="216">
                  <c:v>-16828.541015625</c:v>
                </c:pt>
                <c:pt idx="217">
                  <c:v>-25432.443359375</c:v>
                </c:pt>
                <c:pt idx="218">
                  <c:v>-27252.5</c:v>
                </c:pt>
                <c:pt idx="219">
                  <c:v>-26158.55078125</c:v>
                </c:pt>
                <c:pt idx="220">
                  <c:v>-13125.79296875</c:v>
                </c:pt>
                <c:pt idx="221">
                  <c:v>-6722.0654296875</c:v>
                </c:pt>
                <c:pt idx="222">
                  <c:v>1715.76721191406</c:v>
                </c:pt>
                <c:pt idx="223">
                  <c:v>3477.21142578125</c:v>
                </c:pt>
                <c:pt idx="224">
                  <c:v>4881.80078125</c:v>
                </c:pt>
                <c:pt idx="225">
                  <c:v>19957.8046875</c:v>
                </c:pt>
                <c:pt idx="226">
                  <c:v>35061.94140625</c:v>
                </c:pt>
                <c:pt idx="227">
                  <c:v>53630.8359375</c:v>
                </c:pt>
                <c:pt idx="228">
                  <c:v>64264.90234375</c:v>
                </c:pt>
                <c:pt idx="229">
                  <c:v>60914.4453125</c:v>
                </c:pt>
                <c:pt idx="230">
                  <c:v>68667.5546875</c:v>
                </c:pt>
                <c:pt idx="231">
                  <c:v>67336.453125</c:v>
                </c:pt>
                <c:pt idx="232">
                  <c:v>66599.7890625</c:v>
                </c:pt>
                <c:pt idx="233">
                  <c:v>64013.3125</c:v>
                </c:pt>
                <c:pt idx="234">
                  <c:v>63825.36328125</c:v>
                </c:pt>
                <c:pt idx="235">
                  <c:v>58170.93359375</c:v>
                </c:pt>
                <c:pt idx="236">
                  <c:v>52115.52734375</c:v>
                </c:pt>
                <c:pt idx="237">
                  <c:v>45237.06640625</c:v>
                </c:pt>
                <c:pt idx="238">
                  <c:v>45716.01171875</c:v>
                </c:pt>
                <c:pt idx="239">
                  <c:v>38795.9765625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0B-4AFC-BC15-B70EA5910442}"/>
            </c:ext>
          </c:extLst>
        </c:ser>
        <c:ser>
          <c:idx val="3"/>
          <c:order val="3"/>
          <c:tx>
            <c:strRef>
              <c:f>measured_powers!$E$252</c:f>
              <c:strCache>
                <c:ptCount val="1"/>
                <c:pt idx="0">
                  <c:v>p_645_B_W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measured_powers!$A$253:$A$492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measured_powers!$E$253:$E$492</c:f>
              <c:numCache>
                <c:formatCode>General</c:formatCode>
                <c:ptCount val="240"/>
                <c:pt idx="0">
                  <c:v>50837.53125</c:v>
                </c:pt>
                <c:pt idx="1">
                  <c:v>44308.0078125</c:v>
                </c:pt>
                <c:pt idx="2">
                  <c:v>36205.40234375</c:v>
                </c:pt>
                <c:pt idx="3">
                  <c:v>29846.482421875</c:v>
                </c:pt>
                <c:pt idx="4">
                  <c:v>29493.1875</c:v>
                </c:pt>
                <c:pt idx="5">
                  <c:v>28033.001953125</c:v>
                </c:pt>
                <c:pt idx="6">
                  <c:v>28122.955078125</c:v>
                </c:pt>
                <c:pt idx="7">
                  <c:v>28562.951171875</c:v>
                </c:pt>
                <c:pt idx="8">
                  <c:v>28138.552734375</c:v>
                </c:pt>
                <c:pt idx="9">
                  <c:v>28767.84375</c:v>
                </c:pt>
                <c:pt idx="10">
                  <c:v>32054.1015625</c:v>
                </c:pt>
                <c:pt idx="11">
                  <c:v>31095.6796875</c:v>
                </c:pt>
                <c:pt idx="12">
                  <c:v>29103.55078125</c:v>
                </c:pt>
                <c:pt idx="13">
                  <c:v>28255.119140625</c:v>
                </c:pt>
                <c:pt idx="14">
                  <c:v>25837.958984375</c:v>
                </c:pt>
                <c:pt idx="15">
                  <c:v>19650.220703125</c:v>
                </c:pt>
                <c:pt idx="16">
                  <c:v>16689.326171875</c:v>
                </c:pt>
                <c:pt idx="17">
                  <c:v>13550.232421875</c:v>
                </c:pt>
                <c:pt idx="18">
                  <c:v>-1088.34326171875</c:v>
                </c:pt>
                <c:pt idx="19">
                  <c:v>-12373.9345703125</c:v>
                </c:pt>
                <c:pt idx="20">
                  <c:v>-19628.244140625</c:v>
                </c:pt>
                <c:pt idx="21">
                  <c:v>-32128.07421875</c:v>
                </c:pt>
                <c:pt idx="22">
                  <c:v>-34586.765625</c:v>
                </c:pt>
                <c:pt idx="23">
                  <c:v>-33922.6328125</c:v>
                </c:pt>
                <c:pt idx="24">
                  <c:v>-31659.890625</c:v>
                </c:pt>
                <c:pt idx="25">
                  <c:v>-34026.80078125</c:v>
                </c:pt>
                <c:pt idx="26">
                  <c:v>-40096.3984375</c:v>
                </c:pt>
                <c:pt idx="27">
                  <c:v>-35277.390625</c:v>
                </c:pt>
                <c:pt idx="28">
                  <c:v>-16887.84375</c:v>
                </c:pt>
                <c:pt idx="29">
                  <c:v>-13452.251953125</c:v>
                </c:pt>
                <c:pt idx="30">
                  <c:v>-6312.0380859375</c:v>
                </c:pt>
                <c:pt idx="31">
                  <c:v>5704.84423828125</c:v>
                </c:pt>
                <c:pt idx="32">
                  <c:v>9150.8671875</c:v>
                </c:pt>
                <c:pt idx="33">
                  <c:v>20740.486328125</c:v>
                </c:pt>
                <c:pt idx="34">
                  <c:v>33220.296875</c:v>
                </c:pt>
                <c:pt idx="35">
                  <c:v>46338.10546875</c:v>
                </c:pt>
                <c:pt idx="36">
                  <c:v>60313.7578125</c:v>
                </c:pt>
                <c:pt idx="37">
                  <c:v>72196.8359375</c:v>
                </c:pt>
                <c:pt idx="38">
                  <c:v>74465.109375</c:v>
                </c:pt>
                <c:pt idx="39">
                  <c:v>75451.25</c:v>
                </c:pt>
                <c:pt idx="40">
                  <c:v>60830.875</c:v>
                </c:pt>
                <c:pt idx="41">
                  <c:v>55313.796875</c:v>
                </c:pt>
                <c:pt idx="42">
                  <c:v>54771.19921875</c:v>
                </c:pt>
                <c:pt idx="43">
                  <c:v>53719.02734375</c:v>
                </c:pt>
                <c:pt idx="44">
                  <c:v>50639.62109375</c:v>
                </c:pt>
                <c:pt idx="45">
                  <c:v>54712.94921875</c:v>
                </c:pt>
                <c:pt idx="46">
                  <c:v>52322.2109375</c:v>
                </c:pt>
                <c:pt idx="47">
                  <c:v>44302.13671875</c:v>
                </c:pt>
                <c:pt idx="48">
                  <c:v>48208.828125</c:v>
                </c:pt>
                <c:pt idx="49">
                  <c:v>40716.5859375</c:v>
                </c:pt>
                <c:pt idx="50">
                  <c:v>34889.2421875</c:v>
                </c:pt>
                <c:pt idx="51">
                  <c:v>29367.095703125</c:v>
                </c:pt>
                <c:pt idx="52">
                  <c:v>30655.533203125</c:v>
                </c:pt>
                <c:pt idx="53">
                  <c:v>28235.044921875</c:v>
                </c:pt>
                <c:pt idx="54">
                  <c:v>31980.046875</c:v>
                </c:pt>
                <c:pt idx="55">
                  <c:v>36679.50390625</c:v>
                </c:pt>
                <c:pt idx="56">
                  <c:v>34080.54296875</c:v>
                </c:pt>
                <c:pt idx="57">
                  <c:v>35098.98828125</c:v>
                </c:pt>
                <c:pt idx="58">
                  <c:v>34450.7421875</c:v>
                </c:pt>
                <c:pt idx="59">
                  <c:v>35198.88671875</c:v>
                </c:pt>
                <c:pt idx="60">
                  <c:v>31457.765625</c:v>
                </c:pt>
                <c:pt idx="61">
                  <c:v>27766.759765625</c:v>
                </c:pt>
                <c:pt idx="62">
                  <c:v>20514.5546875</c:v>
                </c:pt>
                <c:pt idx="63">
                  <c:v>11023.412109375</c:v>
                </c:pt>
                <c:pt idx="64">
                  <c:v>14346.5205078125</c:v>
                </c:pt>
                <c:pt idx="65">
                  <c:v>3716.32446289062</c:v>
                </c:pt>
                <c:pt idx="66">
                  <c:v>-2274.69384765625</c:v>
                </c:pt>
                <c:pt idx="67">
                  <c:v>-9154.9130859375</c:v>
                </c:pt>
                <c:pt idx="68">
                  <c:v>-3857.17358398437</c:v>
                </c:pt>
                <c:pt idx="69">
                  <c:v>-2386.75634765625</c:v>
                </c:pt>
                <c:pt idx="70">
                  <c:v>3415.0693359375</c:v>
                </c:pt>
                <c:pt idx="71">
                  <c:v>6197.93896484375</c:v>
                </c:pt>
                <c:pt idx="72">
                  <c:v>9580.9609375</c:v>
                </c:pt>
                <c:pt idx="73">
                  <c:v>22496.845703125</c:v>
                </c:pt>
                <c:pt idx="74">
                  <c:v>26687.8203125</c:v>
                </c:pt>
                <c:pt idx="75">
                  <c:v>32566.193359375</c:v>
                </c:pt>
                <c:pt idx="76">
                  <c:v>54583.3359375</c:v>
                </c:pt>
                <c:pt idx="77">
                  <c:v>72546.984375</c:v>
                </c:pt>
                <c:pt idx="78">
                  <c:v>70261.875</c:v>
                </c:pt>
                <c:pt idx="79">
                  <c:v>62579.9140625</c:v>
                </c:pt>
                <c:pt idx="80">
                  <c:v>78128.1953125</c:v>
                </c:pt>
                <c:pt idx="81">
                  <c:v>105275.609375</c:v>
                </c:pt>
                <c:pt idx="82">
                  <c:v>116038.4921875</c:v>
                </c:pt>
                <c:pt idx="83">
                  <c:v>133080.140625</c:v>
                </c:pt>
                <c:pt idx="84">
                  <c:v>156203.09375</c:v>
                </c:pt>
                <c:pt idx="85">
                  <c:v>158062.90625</c:v>
                </c:pt>
                <c:pt idx="86">
                  <c:v>154397.59375</c:v>
                </c:pt>
                <c:pt idx="87">
                  <c:v>152429.484375</c:v>
                </c:pt>
                <c:pt idx="88">
                  <c:v>154956.75</c:v>
                </c:pt>
                <c:pt idx="89">
                  <c:v>153452.3125</c:v>
                </c:pt>
                <c:pt idx="90">
                  <c:v>133795.953125</c:v>
                </c:pt>
                <c:pt idx="91">
                  <c:v>131042.859375</c:v>
                </c:pt>
                <c:pt idx="92">
                  <c:v>113981.2578125</c:v>
                </c:pt>
                <c:pt idx="93">
                  <c:v>109344.671875</c:v>
                </c:pt>
                <c:pt idx="94">
                  <c:v>98962.7734375</c:v>
                </c:pt>
                <c:pt idx="95">
                  <c:v>94029.828125</c:v>
                </c:pt>
                <c:pt idx="96">
                  <c:v>85802.78125</c:v>
                </c:pt>
                <c:pt idx="97">
                  <c:v>84592.078125</c:v>
                </c:pt>
                <c:pt idx="98">
                  <c:v>73845.7265625</c:v>
                </c:pt>
                <c:pt idx="99">
                  <c:v>70103.6015625</c:v>
                </c:pt>
                <c:pt idx="100">
                  <c:v>72596.71875</c:v>
                </c:pt>
                <c:pt idx="101">
                  <c:v>65840.7578125</c:v>
                </c:pt>
                <c:pt idx="102">
                  <c:v>58511.94921875</c:v>
                </c:pt>
                <c:pt idx="103">
                  <c:v>58882.0703125</c:v>
                </c:pt>
                <c:pt idx="104">
                  <c:v>58967.5625</c:v>
                </c:pt>
                <c:pt idx="105">
                  <c:v>58719.14453125</c:v>
                </c:pt>
                <c:pt idx="106">
                  <c:v>53787.17578125</c:v>
                </c:pt>
                <c:pt idx="107">
                  <c:v>50269.45703125</c:v>
                </c:pt>
                <c:pt idx="108">
                  <c:v>46342.46875</c:v>
                </c:pt>
                <c:pt idx="109">
                  <c:v>41208.765625</c:v>
                </c:pt>
                <c:pt idx="110">
                  <c:v>34653.0234375</c:v>
                </c:pt>
                <c:pt idx="111">
                  <c:v>26564.3828125</c:v>
                </c:pt>
                <c:pt idx="112">
                  <c:v>24669.5859375</c:v>
                </c:pt>
                <c:pt idx="113">
                  <c:v>18981.560546875</c:v>
                </c:pt>
                <c:pt idx="114">
                  <c:v>15272.033203125</c:v>
                </c:pt>
                <c:pt idx="115">
                  <c:v>6506.01318359375</c:v>
                </c:pt>
                <c:pt idx="116">
                  <c:v>5197.64990234375</c:v>
                </c:pt>
                <c:pt idx="117">
                  <c:v>1530.07788085937</c:v>
                </c:pt>
                <c:pt idx="118">
                  <c:v>-2430.94555664062</c:v>
                </c:pt>
                <c:pt idx="119">
                  <c:v>3775.20385742187</c:v>
                </c:pt>
                <c:pt idx="120">
                  <c:v>2968.92333984375</c:v>
                </c:pt>
                <c:pt idx="121">
                  <c:v>266.08251953125</c:v>
                </c:pt>
                <c:pt idx="122">
                  <c:v>-13488.103515625</c:v>
                </c:pt>
                <c:pt idx="123">
                  <c:v>-11613.173828125</c:v>
                </c:pt>
                <c:pt idx="124">
                  <c:v>-12491.900390625</c:v>
                </c:pt>
                <c:pt idx="125">
                  <c:v>-9771.0966796875</c:v>
                </c:pt>
                <c:pt idx="126">
                  <c:v>710.21929931640602</c:v>
                </c:pt>
                <c:pt idx="127">
                  <c:v>11251.576171875</c:v>
                </c:pt>
                <c:pt idx="128">
                  <c:v>9653.0419921875</c:v>
                </c:pt>
                <c:pt idx="129">
                  <c:v>16140.9453125</c:v>
                </c:pt>
                <c:pt idx="130">
                  <c:v>25545.935546875</c:v>
                </c:pt>
                <c:pt idx="131">
                  <c:v>35249.1171875</c:v>
                </c:pt>
                <c:pt idx="132">
                  <c:v>45515.91796875</c:v>
                </c:pt>
                <c:pt idx="133">
                  <c:v>49973.671875</c:v>
                </c:pt>
                <c:pt idx="134">
                  <c:v>48243.171875</c:v>
                </c:pt>
                <c:pt idx="135">
                  <c:v>45632.375</c:v>
                </c:pt>
                <c:pt idx="136">
                  <c:v>43890.01953125</c:v>
                </c:pt>
                <c:pt idx="137">
                  <c:v>42037.14453125</c:v>
                </c:pt>
                <c:pt idx="138">
                  <c:v>44189.84765625</c:v>
                </c:pt>
                <c:pt idx="139">
                  <c:v>42437.36328125</c:v>
                </c:pt>
                <c:pt idx="140">
                  <c:v>47533.1015625</c:v>
                </c:pt>
                <c:pt idx="141">
                  <c:v>51388.078125</c:v>
                </c:pt>
                <c:pt idx="142">
                  <c:v>43345.53125</c:v>
                </c:pt>
                <c:pt idx="143">
                  <c:v>42431.2265625</c:v>
                </c:pt>
                <c:pt idx="144">
                  <c:v>43581.58984375</c:v>
                </c:pt>
                <c:pt idx="145">
                  <c:v>37709.7890625</c:v>
                </c:pt>
                <c:pt idx="146">
                  <c:v>30849.54296875</c:v>
                </c:pt>
                <c:pt idx="147">
                  <c:v>28102.66796875</c:v>
                </c:pt>
                <c:pt idx="148">
                  <c:v>26604.349609375</c:v>
                </c:pt>
                <c:pt idx="149">
                  <c:v>27513.98828125</c:v>
                </c:pt>
                <c:pt idx="150">
                  <c:v>27969.837890625</c:v>
                </c:pt>
                <c:pt idx="151">
                  <c:v>27962.623046875</c:v>
                </c:pt>
                <c:pt idx="152">
                  <c:v>29923.390625</c:v>
                </c:pt>
                <c:pt idx="153">
                  <c:v>27744.52734375</c:v>
                </c:pt>
                <c:pt idx="154">
                  <c:v>29241.27734375</c:v>
                </c:pt>
                <c:pt idx="155">
                  <c:v>28948.908203125</c:v>
                </c:pt>
                <c:pt idx="156">
                  <c:v>27492.685546875</c:v>
                </c:pt>
                <c:pt idx="157">
                  <c:v>30933.736328125</c:v>
                </c:pt>
                <c:pt idx="158">
                  <c:v>32032.7890625</c:v>
                </c:pt>
                <c:pt idx="159">
                  <c:v>29983.66796875</c:v>
                </c:pt>
                <c:pt idx="160">
                  <c:v>20600.525390625</c:v>
                </c:pt>
                <c:pt idx="161">
                  <c:v>18727.81640625</c:v>
                </c:pt>
                <c:pt idx="162">
                  <c:v>22102.779296875</c:v>
                </c:pt>
                <c:pt idx="163">
                  <c:v>22673.0546875</c:v>
                </c:pt>
                <c:pt idx="164">
                  <c:v>16877.26953125</c:v>
                </c:pt>
                <c:pt idx="165">
                  <c:v>16147.03515625</c:v>
                </c:pt>
                <c:pt idx="166">
                  <c:v>15710.8935546875</c:v>
                </c:pt>
                <c:pt idx="167">
                  <c:v>6554.05224609375</c:v>
                </c:pt>
                <c:pt idx="168">
                  <c:v>-2310.72875976562</c:v>
                </c:pt>
                <c:pt idx="169">
                  <c:v>-1186.3642578125</c:v>
                </c:pt>
                <c:pt idx="170">
                  <c:v>946.29455566406205</c:v>
                </c:pt>
                <c:pt idx="171">
                  <c:v>2130.671875</c:v>
                </c:pt>
                <c:pt idx="172">
                  <c:v>-782.24456787109295</c:v>
                </c:pt>
                <c:pt idx="173">
                  <c:v>-2696.84106445312</c:v>
                </c:pt>
                <c:pt idx="174">
                  <c:v>-2426.76904296875</c:v>
                </c:pt>
                <c:pt idx="175">
                  <c:v>440.13748168945301</c:v>
                </c:pt>
                <c:pt idx="176">
                  <c:v>4900.4833984375</c:v>
                </c:pt>
                <c:pt idx="177">
                  <c:v>5168.064453125</c:v>
                </c:pt>
                <c:pt idx="178">
                  <c:v>23687.43359375</c:v>
                </c:pt>
                <c:pt idx="179">
                  <c:v>38706.10546875</c:v>
                </c:pt>
                <c:pt idx="180">
                  <c:v>37153.6015625</c:v>
                </c:pt>
                <c:pt idx="181">
                  <c:v>38813.58984375</c:v>
                </c:pt>
                <c:pt idx="182">
                  <c:v>42005.13671875</c:v>
                </c:pt>
                <c:pt idx="183">
                  <c:v>45240.22265625</c:v>
                </c:pt>
                <c:pt idx="184">
                  <c:v>49431.24609375</c:v>
                </c:pt>
                <c:pt idx="185">
                  <c:v>49721.4765625</c:v>
                </c:pt>
                <c:pt idx="186">
                  <c:v>48423.9375</c:v>
                </c:pt>
                <c:pt idx="187">
                  <c:v>45778.23046875</c:v>
                </c:pt>
                <c:pt idx="188">
                  <c:v>45492.109375</c:v>
                </c:pt>
                <c:pt idx="189">
                  <c:v>49723.453125</c:v>
                </c:pt>
                <c:pt idx="190">
                  <c:v>43143.84375</c:v>
                </c:pt>
                <c:pt idx="191">
                  <c:v>38228.21875</c:v>
                </c:pt>
                <c:pt idx="192">
                  <c:v>37926.125</c:v>
                </c:pt>
                <c:pt idx="193">
                  <c:v>34650.83984375</c:v>
                </c:pt>
                <c:pt idx="194">
                  <c:v>29529.140625</c:v>
                </c:pt>
                <c:pt idx="195">
                  <c:v>27080.40234375</c:v>
                </c:pt>
                <c:pt idx="196">
                  <c:v>22989.09375</c:v>
                </c:pt>
                <c:pt idx="197">
                  <c:v>23353.2890625</c:v>
                </c:pt>
                <c:pt idx="198">
                  <c:v>25529.935546875</c:v>
                </c:pt>
                <c:pt idx="199">
                  <c:v>25354</c:v>
                </c:pt>
                <c:pt idx="200">
                  <c:v>24181.66796875</c:v>
                </c:pt>
                <c:pt idx="201">
                  <c:v>25261.96875</c:v>
                </c:pt>
                <c:pt idx="202">
                  <c:v>27322.61328125</c:v>
                </c:pt>
                <c:pt idx="203">
                  <c:v>27804.869140625</c:v>
                </c:pt>
                <c:pt idx="204">
                  <c:v>26326.43359375</c:v>
                </c:pt>
                <c:pt idx="205">
                  <c:v>25129.873046875</c:v>
                </c:pt>
                <c:pt idx="206">
                  <c:v>26220.322265625</c:v>
                </c:pt>
                <c:pt idx="207">
                  <c:v>16593.111328125</c:v>
                </c:pt>
                <c:pt idx="208">
                  <c:v>5109.591796875</c:v>
                </c:pt>
                <c:pt idx="209">
                  <c:v>-4466.392578125</c:v>
                </c:pt>
                <c:pt idx="210">
                  <c:v>-12940.1044921875</c:v>
                </c:pt>
                <c:pt idx="211">
                  <c:v>-17943.61328125</c:v>
                </c:pt>
                <c:pt idx="212">
                  <c:v>-28249.021484375</c:v>
                </c:pt>
                <c:pt idx="213">
                  <c:v>-30525.677734375</c:v>
                </c:pt>
                <c:pt idx="214">
                  <c:v>-32143.384765625</c:v>
                </c:pt>
                <c:pt idx="215">
                  <c:v>-30985.875</c:v>
                </c:pt>
                <c:pt idx="216">
                  <c:v>-18805.763671875</c:v>
                </c:pt>
                <c:pt idx="217">
                  <c:v>-20152.091796875</c:v>
                </c:pt>
                <c:pt idx="218">
                  <c:v>-22153.044921875</c:v>
                </c:pt>
                <c:pt idx="219">
                  <c:v>-22242.80859375</c:v>
                </c:pt>
                <c:pt idx="220">
                  <c:v>-2248.69775390625</c:v>
                </c:pt>
                <c:pt idx="221">
                  <c:v>-2268.70288085937</c:v>
                </c:pt>
                <c:pt idx="222">
                  <c:v>10395.2705078125</c:v>
                </c:pt>
                <c:pt idx="223">
                  <c:v>14011.3173828125</c:v>
                </c:pt>
                <c:pt idx="224">
                  <c:v>14684.623046875</c:v>
                </c:pt>
                <c:pt idx="225">
                  <c:v>39496.40625</c:v>
                </c:pt>
                <c:pt idx="226">
                  <c:v>64014.08984375</c:v>
                </c:pt>
                <c:pt idx="227">
                  <c:v>83210.3984375</c:v>
                </c:pt>
                <c:pt idx="228">
                  <c:v>97932.75</c:v>
                </c:pt>
                <c:pt idx="229">
                  <c:v>104277.9921875</c:v>
                </c:pt>
                <c:pt idx="230">
                  <c:v>117430.265625</c:v>
                </c:pt>
                <c:pt idx="231">
                  <c:v>115814.8359375</c:v>
                </c:pt>
                <c:pt idx="232">
                  <c:v>107242.3984375</c:v>
                </c:pt>
                <c:pt idx="233">
                  <c:v>109860.7109375</c:v>
                </c:pt>
                <c:pt idx="234">
                  <c:v>103426.484375</c:v>
                </c:pt>
                <c:pt idx="235">
                  <c:v>98110.390625</c:v>
                </c:pt>
                <c:pt idx="236">
                  <c:v>90560.109375</c:v>
                </c:pt>
                <c:pt idx="237">
                  <c:v>90187.28125</c:v>
                </c:pt>
                <c:pt idx="238">
                  <c:v>90256.3203125</c:v>
                </c:pt>
                <c:pt idx="239">
                  <c:v>76656.3125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0B-4AFC-BC15-B70EA5910442}"/>
            </c:ext>
          </c:extLst>
        </c:ser>
        <c:ser>
          <c:idx val="4"/>
          <c:order val="4"/>
          <c:tx>
            <c:strRef>
              <c:f>measured_powers!$F$252</c:f>
              <c:strCache>
                <c:ptCount val="1"/>
                <c:pt idx="0">
                  <c:v>p_646_B_W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measured_powers!$A$253:$A$492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measured_powers!$F$253:$F$492</c:f>
              <c:numCache>
                <c:formatCode>General</c:formatCode>
                <c:ptCount val="240"/>
                <c:pt idx="0">
                  <c:v>49241.890625</c:v>
                </c:pt>
                <c:pt idx="1">
                  <c:v>45336.953125</c:v>
                </c:pt>
                <c:pt idx="2">
                  <c:v>41410.66796875</c:v>
                </c:pt>
                <c:pt idx="3">
                  <c:v>43601.29296875</c:v>
                </c:pt>
                <c:pt idx="4">
                  <c:v>35153.1796875</c:v>
                </c:pt>
                <c:pt idx="5">
                  <c:v>36373.5703125</c:v>
                </c:pt>
                <c:pt idx="6">
                  <c:v>35720.578125</c:v>
                </c:pt>
                <c:pt idx="7">
                  <c:v>37803.515625</c:v>
                </c:pt>
                <c:pt idx="8">
                  <c:v>36604.5625</c:v>
                </c:pt>
                <c:pt idx="9">
                  <c:v>36645.14453125</c:v>
                </c:pt>
                <c:pt idx="10">
                  <c:v>42526.9453125</c:v>
                </c:pt>
                <c:pt idx="11">
                  <c:v>46519.01953125</c:v>
                </c:pt>
                <c:pt idx="12">
                  <c:v>44899.31640625</c:v>
                </c:pt>
                <c:pt idx="13">
                  <c:v>43636.078125</c:v>
                </c:pt>
                <c:pt idx="14">
                  <c:v>38920.703125</c:v>
                </c:pt>
                <c:pt idx="15">
                  <c:v>29818.7734375</c:v>
                </c:pt>
                <c:pt idx="16">
                  <c:v>22927.75390625</c:v>
                </c:pt>
                <c:pt idx="17">
                  <c:v>20879.34765625</c:v>
                </c:pt>
                <c:pt idx="18">
                  <c:v>6366.240234375</c:v>
                </c:pt>
                <c:pt idx="19">
                  <c:v>-6106.134765625</c:v>
                </c:pt>
                <c:pt idx="20">
                  <c:v>-15185.3369140625</c:v>
                </c:pt>
                <c:pt idx="21">
                  <c:v>-24890.943359375</c:v>
                </c:pt>
                <c:pt idx="22">
                  <c:v>-36538.65625</c:v>
                </c:pt>
                <c:pt idx="23">
                  <c:v>-39780.37890625</c:v>
                </c:pt>
                <c:pt idx="24">
                  <c:v>-45444.171875</c:v>
                </c:pt>
                <c:pt idx="25">
                  <c:v>-46626.25390625</c:v>
                </c:pt>
                <c:pt idx="26">
                  <c:v>-49197.68359375</c:v>
                </c:pt>
                <c:pt idx="27">
                  <c:v>-49583.953125</c:v>
                </c:pt>
                <c:pt idx="28">
                  <c:v>-47500.73828125</c:v>
                </c:pt>
                <c:pt idx="29">
                  <c:v>-43053.93359375</c:v>
                </c:pt>
                <c:pt idx="30">
                  <c:v>-29308.16015625</c:v>
                </c:pt>
                <c:pt idx="31">
                  <c:v>-12669.349609375</c:v>
                </c:pt>
                <c:pt idx="32">
                  <c:v>3349.19873046875</c:v>
                </c:pt>
                <c:pt idx="33">
                  <c:v>20147.1328125</c:v>
                </c:pt>
                <c:pt idx="34">
                  <c:v>39174.1953125</c:v>
                </c:pt>
                <c:pt idx="35">
                  <c:v>66977.046875</c:v>
                </c:pt>
                <c:pt idx="36">
                  <c:v>84036.2578125</c:v>
                </c:pt>
                <c:pt idx="37">
                  <c:v>88164.5</c:v>
                </c:pt>
                <c:pt idx="38">
                  <c:v>83783.8671875</c:v>
                </c:pt>
                <c:pt idx="39">
                  <c:v>84361.4765625</c:v>
                </c:pt>
                <c:pt idx="40">
                  <c:v>95867.921875</c:v>
                </c:pt>
                <c:pt idx="41">
                  <c:v>106913.8671875</c:v>
                </c:pt>
                <c:pt idx="42">
                  <c:v>100757.140625</c:v>
                </c:pt>
                <c:pt idx="43">
                  <c:v>111720.125</c:v>
                </c:pt>
                <c:pt idx="44">
                  <c:v>104856.4921875</c:v>
                </c:pt>
                <c:pt idx="45">
                  <c:v>82257.296875</c:v>
                </c:pt>
                <c:pt idx="46">
                  <c:v>69714.5078125</c:v>
                </c:pt>
                <c:pt idx="47">
                  <c:v>58928.98046875</c:v>
                </c:pt>
                <c:pt idx="48">
                  <c:v>52329.7421875</c:v>
                </c:pt>
                <c:pt idx="49">
                  <c:v>48244.84375</c:v>
                </c:pt>
                <c:pt idx="50">
                  <c:v>40822.734375</c:v>
                </c:pt>
                <c:pt idx="51">
                  <c:v>39572.24609375</c:v>
                </c:pt>
                <c:pt idx="52">
                  <c:v>38920.43359375</c:v>
                </c:pt>
                <c:pt idx="53">
                  <c:v>38053.3359375</c:v>
                </c:pt>
                <c:pt idx="54">
                  <c:v>37709.1796875</c:v>
                </c:pt>
                <c:pt idx="55">
                  <c:v>38333.85546875</c:v>
                </c:pt>
                <c:pt idx="56">
                  <c:v>39674.109375</c:v>
                </c:pt>
                <c:pt idx="57">
                  <c:v>37770.76953125</c:v>
                </c:pt>
                <c:pt idx="58">
                  <c:v>39945.70703125</c:v>
                </c:pt>
                <c:pt idx="59">
                  <c:v>45694.8515625</c:v>
                </c:pt>
                <c:pt idx="60">
                  <c:v>48776.71875</c:v>
                </c:pt>
                <c:pt idx="61">
                  <c:v>48218.828125</c:v>
                </c:pt>
                <c:pt idx="62">
                  <c:v>44219.53515625</c:v>
                </c:pt>
                <c:pt idx="63">
                  <c:v>36570.9609375</c:v>
                </c:pt>
                <c:pt idx="64">
                  <c:v>32893.80859375</c:v>
                </c:pt>
                <c:pt idx="65">
                  <c:v>24810.8515625</c:v>
                </c:pt>
                <c:pt idx="66">
                  <c:v>13306.6474609375</c:v>
                </c:pt>
                <c:pt idx="67">
                  <c:v>9455.3818359375</c:v>
                </c:pt>
                <c:pt idx="68">
                  <c:v>33137.53125</c:v>
                </c:pt>
                <c:pt idx="69">
                  <c:v>33980.73828125</c:v>
                </c:pt>
                <c:pt idx="70">
                  <c:v>42895.2578125</c:v>
                </c:pt>
                <c:pt idx="71">
                  <c:v>34469.60546875</c:v>
                </c:pt>
                <c:pt idx="72">
                  <c:v>44915.765625</c:v>
                </c:pt>
                <c:pt idx="73">
                  <c:v>56540.53515625</c:v>
                </c:pt>
                <c:pt idx="74">
                  <c:v>59125.11328125</c:v>
                </c:pt>
                <c:pt idx="75">
                  <c:v>67524.6875</c:v>
                </c:pt>
                <c:pt idx="76">
                  <c:v>80453.7265625</c:v>
                </c:pt>
                <c:pt idx="77">
                  <c:v>96290.65625</c:v>
                </c:pt>
                <c:pt idx="78">
                  <c:v>109454.296875</c:v>
                </c:pt>
                <c:pt idx="79">
                  <c:v>121103.5703125</c:v>
                </c:pt>
                <c:pt idx="80">
                  <c:v>139852.515625</c:v>
                </c:pt>
                <c:pt idx="81">
                  <c:v>154252.3125</c:v>
                </c:pt>
                <c:pt idx="82">
                  <c:v>181317.078125</c:v>
                </c:pt>
                <c:pt idx="83">
                  <c:v>203139.359375</c:v>
                </c:pt>
                <c:pt idx="84">
                  <c:v>212311.546875</c:v>
                </c:pt>
                <c:pt idx="85">
                  <c:v>214058.703125</c:v>
                </c:pt>
                <c:pt idx="86">
                  <c:v>230186.8125</c:v>
                </c:pt>
                <c:pt idx="87">
                  <c:v>247889.75</c:v>
                </c:pt>
                <c:pt idx="88">
                  <c:v>246058.515625</c:v>
                </c:pt>
                <c:pt idx="89">
                  <c:v>238014.171875</c:v>
                </c:pt>
                <c:pt idx="90">
                  <c:v>232715.765625</c:v>
                </c:pt>
                <c:pt idx="91">
                  <c:v>214790.328125</c:v>
                </c:pt>
                <c:pt idx="92">
                  <c:v>198376.53125</c:v>
                </c:pt>
                <c:pt idx="93">
                  <c:v>178449.9375</c:v>
                </c:pt>
                <c:pt idx="94">
                  <c:v>149735.0625</c:v>
                </c:pt>
                <c:pt idx="95">
                  <c:v>129921.8828125</c:v>
                </c:pt>
                <c:pt idx="96">
                  <c:v>102955.140625</c:v>
                </c:pt>
                <c:pt idx="97">
                  <c:v>97456.90625</c:v>
                </c:pt>
                <c:pt idx="98">
                  <c:v>91597.4921875</c:v>
                </c:pt>
                <c:pt idx="99">
                  <c:v>80869.78125</c:v>
                </c:pt>
                <c:pt idx="100">
                  <c:v>72713.0859375</c:v>
                </c:pt>
                <c:pt idx="101">
                  <c:v>83723</c:v>
                </c:pt>
                <c:pt idx="102">
                  <c:v>78651.5625</c:v>
                </c:pt>
                <c:pt idx="103">
                  <c:v>75410.1015625</c:v>
                </c:pt>
                <c:pt idx="104">
                  <c:v>64532.515625</c:v>
                </c:pt>
                <c:pt idx="105">
                  <c:v>58808.09375</c:v>
                </c:pt>
                <c:pt idx="106">
                  <c:v>58538.83984375</c:v>
                </c:pt>
                <c:pt idx="107">
                  <c:v>54527.40234375</c:v>
                </c:pt>
                <c:pt idx="108">
                  <c:v>50538.75390625</c:v>
                </c:pt>
                <c:pt idx="109">
                  <c:v>59915.2578125</c:v>
                </c:pt>
                <c:pt idx="110">
                  <c:v>46907.15234375</c:v>
                </c:pt>
                <c:pt idx="111">
                  <c:v>31085.13671875</c:v>
                </c:pt>
                <c:pt idx="112">
                  <c:v>23894.470703125</c:v>
                </c:pt>
                <c:pt idx="113">
                  <c:v>22308</c:v>
                </c:pt>
                <c:pt idx="114">
                  <c:v>13090.705078125</c:v>
                </c:pt>
                <c:pt idx="115">
                  <c:v>2054.73852539062</c:v>
                </c:pt>
                <c:pt idx="116">
                  <c:v>1750.62854003906</c:v>
                </c:pt>
                <c:pt idx="117">
                  <c:v>-12032.2138671875</c:v>
                </c:pt>
                <c:pt idx="118">
                  <c:v>-17388.275390625</c:v>
                </c:pt>
                <c:pt idx="119">
                  <c:v>-21427.40625</c:v>
                </c:pt>
                <c:pt idx="120">
                  <c:v>-28988.2421875</c:v>
                </c:pt>
                <c:pt idx="121">
                  <c:v>-30219.234375</c:v>
                </c:pt>
                <c:pt idx="122">
                  <c:v>-29286.1953125</c:v>
                </c:pt>
                <c:pt idx="123">
                  <c:v>-8717.029296875</c:v>
                </c:pt>
                <c:pt idx="124">
                  <c:v>-18082.443359375</c:v>
                </c:pt>
                <c:pt idx="125">
                  <c:v>-18918.841796875</c:v>
                </c:pt>
                <c:pt idx="126">
                  <c:v>-14100.92578125</c:v>
                </c:pt>
                <c:pt idx="127">
                  <c:v>2243.89233398437</c:v>
                </c:pt>
                <c:pt idx="128">
                  <c:v>9795.453125</c:v>
                </c:pt>
                <c:pt idx="129">
                  <c:v>14077.224609375</c:v>
                </c:pt>
                <c:pt idx="130">
                  <c:v>26639.533203125</c:v>
                </c:pt>
                <c:pt idx="131">
                  <c:v>49062.16796875</c:v>
                </c:pt>
                <c:pt idx="132">
                  <c:v>71699.4609375</c:v>
                </c:pt>
                <c:pt idx="133">
                  <c:v>75382.71875</c:v>
                </c:pt>
                <c:pt idx="134">
                  <c:v>72937.984375</c:v>
                </c:pt>
                <c:pt idx="135">
                  <c:v>68502.4453125</c:v>
                </c:pt>
                <c:pt idx="136">
                  <c:v>70121.609375</c:v>
                </c:pt>
                <c:pt idx="137">
                  <c:v>71344.28125</c:v>
                </c:pt>
                <c:pt idx="138">
                  <c:v>72788.09375</c:v>
                </c:pt>
                <c:pt idx="139">
                  <c:v>66076.1015625</c:v>
                </c:pt>
                <c:pt idx="140">
                  <c:v>68456.609375</c:v>
                </c:pt>
                <c:pt idx="141">
                  <c:v>63216.05078125</c:v>
                </c:pt>
                <c:pt idx="142">
                  <c:v>57446.68359375</c:v>
                </c:pt>
                <c:pt idx="143">
                  <c:v>50391.796875</c:v>
                </c:pt>
                <c:pt idx="144">
                  <c:v>42645.1171875</c:v>
                </c:pt>
                <c:pt idx="145">
                  <c:v>42129.55078125</c:v>
                </c:pt>
                <c:pt idx="146">
                  <c:v>38304.328125</c:v>
                </c:pt>
                <c:pt idx="147">
                  <c:v>37879.671875</c:v>
                </c:pt>
                <c:pt idx="148">
                  <c:v>39798.015625</c:v>
                </c:pt>
                <c:pt idx="149">
                  <c:v>33047.29296875</c:v>
                </c:pt>
                <c:pt idx="150">
                  <c:v>33706.09375</c:v>
                </c:pt>
                <c:pt idx="151">
                  <c:v>33321.69921875</c:v>
                </c:pt>
                <c:pt idx="152">
                  <c:v>31473.521484375</c:v>
                </c:pt>
                <c:pt idx="153">
                  <c:v>31124.966796875</c:v>
                </c:pt>
                <c:pt idx="154">
                  <c:v>38557.95703125</c:v>
                </c:pt>
                <c:pt idx="155">
                  <c:v>43554.40234375</c:v>
                </c:pt>
                <c:pt idx="156">
                  <c:v>48945.78125</c:v>
                </c:pt>
                <c:pt idx="157">
                  <c:v>46618.921875</c:v>
                </c:pt>
                <c:pt idx="158">
                  <c:v>45549.8359375</c:v>
                </c:pt>
                <c:pt idx="159">
                  <c:v>38333.52734375</c:v>
                </c:pt>
                <c:pt idx="160">
                  <c:v>34162.20703125</c:v>
                </c:pt>
                <c:pt idx="161">
                  <c:v>33369.94921875</c:v>
                </c:pt>
                <c:pt idx="162">
                  <c:v>35600.37109375</c:v>
                </c:pt>
                <c:pt idx="163">
                  <c:v>24580.75390625</c:v>
                </c:pt>
                <c:pt idx="164">
                  <c:v>13586.94921875</c:v>
                </c:pt>
                <c:pt idx="165">
                  <c:v>17746.369140625</c:v>
                </c:pt>
                <c:pt idx="166">
                  <c:v>7090.48486328125</c:v>
                </c:pt>
                <c:pt idx="167">
                  <c:v>11080.052734375</c:v>
                </c:pt>
                <c:pt idx="168">
                  <c:v>3399.22290039062</c:v>
                </c:pt>
                <c:pt idx="169">
                  <c:v>5730.11474609375</c:v>
                </c:pt>
                <c:pt idx="170">
                  <c:v>8891.083984375</c:v>
                </c:pt>
                <c:pt idx="171">
                  <c:v>12718.5439453125</c:v>
                </c:pt>
                <c:pt idx="172">
                  <c:v>6421.6865234375</c:v>
                </c:pt>
                <c:pt idx="173">
                  <c:v>4701.00048828125</c:v>
                </c:pt>
                <c:pt idx="174">
                  <c:v>4319.541015625</c:v>
                </c:pt>
                <c:pt idx="175">
                  <c:v>11878.2724609375</c:v>
                </c:pt>
                <c:pt idx="176">
                  <c:v>12384.482421875</c:v>
                </c:pt>
                <c:pt idx="177">
                  <c:v>17906.34765625</c:v>
                </c:pt>
                <c:pt idx="178">
                  <c:v>34360.109375</c:v>
                </c:pt>
                <c:pt idx="179">
                  <c:v>47554.55859375</c:v>
                </c:pt>
                <c:pt idx="180">
                  <c:v>54669.5</c:v>
                </c:pt>
                <c:pt idx="181">
                  <c:v>58228.8046875</c:v>
                </c:pt>
                <c:pt idx="182">
                  <c:v>68071.578125</c:v>
                </c:pt>
                <c:pt idx="183">
                  <c:v>72509.796875</c:v>
                </c:pt>
                <c:pt idx="184">
                  <c:v>76576.8046875</c:v>
                </c:pt>
                <c:pt idx="185">
                  <c:v>76607.25</c:v>
                </c:pt>
                <c:pt idx="186">
                  <c:v>74418.875</c:v>
                </c:pt>
                <c:pt idx="187">
                  <c:v>67331.84375</c:v>
                </c:pt>
                <c:pt idx="188">
                  <c:v>68486.4453125</c:v>
                </c:pt>
                <c:pt idx="189">
                  <c:v>63201.4453125</c:v>
                </c:pt>
                <c:pt idx="190">
                  <c:v>60283.3359375</c:v>
                </c:pt>
                <c:pt idx="191">
                  <c:v>52601.5234375</c:v>
                </c:pt>
                <c:pt idx="192">
                  <c:v>43299.9921875</c:v>
                </c:pt>
                <c:pt idx="193">
                  <c:v>43149.33203125</c:v>
                </c:pt>
                <c:pt idx="194">
                  <c:v>39287.91796875</c:v>
                </c:pt>
                <c:pt idx="195">
                  <c:v>37013.10546875</c:v>
                </c:pt>
                <c:pt idx="196">
                  <c:v>33728.5546875</c:v>
                </c:pt>
                <c:pt idx="197">
                  <c:v>33628.6171875</c:v>
                </c:pt>
                <c:pt idx="198">
                  <c:v>36515.33203125</c:v>
                </c:pt>
                <c:pt idx="199">
                  <c:v>34660.35546875</c:v>
                </c:pt>
                <c:pt idx="200">
                  <c:v>32323.669921875</c:v>
                </c:pt>
                <c:pt idx="201">
                  <c:v>34282.0078125</c:v>
                </c:pt>
                <c:pt idx="202">
                  <c:v>39210.23046875</c:v>
                </c:pt>
                <c:pt idx="203">
                  <c:v>41612.67578125</c:v>
                </c:pt>
                <c:pt idx="204">
                  <c:v>43036.984375</c:v>
                </c:pt>
                <c:pt idx="205">
                  <c:v>43961.51171875</c:v>
                </c:pt>
                <c:pt idx="206">
                  <c:v>35670.9921875</c:v>
                </c:pt>
                <c:pt idx="207">
                  <c:v>28530.220703125</c:v>
                </c:pt>
                <c:pt idx="208">
                  <c:v>14607.1982421875</c:v>
                </c:pt>
                <c:pt idx="209">
                  <c:v>9215.7509765625</c:v>
                </c:pt>
                <c:pt idx="210">
                  <c:v>-950.335205078125</c:v>
                </c:pt>
                <c:pt idx="211">
                  <c:v>-20775.64453125</c:v>
                </c:pt>
                <c:pt idx="212">
                  <c:v>-35202.71484375</c:v>
                </c:pt>
                <c:pt idx="213">
                  <c:v>-45045.8671875</c:v>
                </c:pt>
                <c:pt idx="214">
                  <c:v>-43013.62890625</c:v>
                </c:pt>
                <c:pt idx="215">
                  <c:v>-43307.9609375</c:v>
                </c:pt>
                <c:pt idx="216">
                  <c:v>-34874.21875</c:v>
                </c:pt>
                <c:pt idx="217">
                  <c:v>-34345.5546875</c:v>
                </c:pt>
                <c:pt idx="218">
                  <c:v>-35644.76171875</c:v>
                </c:pt>
                <c:pt idx="219">
                  <c:v>-27681.751953125</c:v>
                </c:pt>
                <c:pt idx="220">
                  <c:v>-18404.732421875</c:v>
                </c:pt>
                <c:pt idx="221">
                  <c:v>-3027.1064453125</c:v>
                </c:pt>
                <c:pt idx="222">
                  <c:v>16317.841796875</c:v>
                </c:pt>
                <c:pt idx="223">
                  <c:v>17177.98828125</c:v>
                </c:pt>
                <c:pt idx="224">
                  <c:v>19872.78515625</c:v>
                </c:pt>
                <c:pt idx="225">
                  <c:v>42991.921875</c:v>
                </c:pt>
                <c:pt idx="226">
                  <c:v>65281.63671875</c:v>
                </c:pt>
                <c:pt idx="227">
                  <c:v>74854.859375</c:v>
                </c:pt>
                <c:pt idx="228">
                  <c:v>99619.40625</c:v>
                </c:pt>
                <c:pt idx="229">
                  <c:v>123363.1796875</c:v>
                </c:pt>
                <c:pt idx="230">
                  <c:v>134671.390625</c:v>
                </c:pt>
                <c:pt idx="231">
                  <c:v>137239.21875</c:v>
                </c:pt>
                <c:pt idx="232">
                  <c:v>140519.125</c:v>
                </c:pt>
                <c:pt idx="233">
                  <c:v>147631.53125</c:v>
                </c:pt>
                <c:pt idx="234">
                  <c:v>137262.640625</c:v>
                </c:pt>
                <c:pt idx="235">
                  <c:v>121605.8203125</c:v>
                </c:pt>
                <c:pt idx="236">
                  <c:v>110307.3515625</c:v>
                </c:pt>
                <c:pt idx="237">
                  <c:v>94772.2890625</c:v>
                </c:pt>
                <c:pt idx="238">
                  <c:v>93188.3046875</c:v>
                </c:pt>
                <c:pt idx="239">
                  <c:v>80335.5625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0B-4AFC-BC15-B70EA5910442}"/>
            </c:ext>
          </c:extLst>
        </c:ser>
        <c:ser>
          <c:idx val="5"/>
          <c:order val="5"/>
          <c:tx>
            <c:strRef>
              <c:f>measured_powers!$G$252</c:f>
              <c:strCache>
                <c:ptCount val="1"/>
                <c:pt idx="0">
                  <c:v>p_652_A_W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measured_powers!$A$253:$A$492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measured_powers!$G$253:$G$492</c:f>
              <c:numCache>
                <c:formatCode>General</c:formatCode>
                <c:ptCount val="240"/>
                <c:pt idx="0">
                  <c:v>27685.53125</c:v>
                </c:pt>
                <c:pt idx="1">
                  <c:v>29013.703125</c:v>
                </c:pt>
                <c:pt idx="2">
                  <c:v>23934.72265625</c:v>
                </c:pt>
                <c:pt idx="3">
                  <c:v>20343.9296875</c:v>
                </c:pt>
                <c:pt idx="4">
                  <c:v>24428.775390625</c:v>
                </c:pt>
                <c:pt idx="5">
                  <c:v>23558.640625</c:v>
                </c:pt>
                <c:pt idx="6">
                  <c:v>23686.65234375</c:v>
                </c:pt>
                <c:pt idx="7">
                  <c:v>19411.65625</c:v>
                </c:pt>
                <c:pt idx="8">
                  <c:v>18387.625</c:v>
                </c:pt>
                <c:pt idx="9">
                  <c:v>18673.681640625</c:v>
                </c:pt>
                <c:pt idx="10">
                  <c:v>18593.6796875</c:v>
                </c:pt>
                <c:pt idx="11">
                  <c:v>18761.705078125</c:v>
                </c:pt>
                <c:pt idx="12">
                  <c:v>19261.7265625</c:v>
                </c:pt>
                <c:pt idx="13">
                  <c:v>20816.01171875</c:v>
                </c:pt>
                <c:pt idx="14">
                  <c:v>18835.76953125</c:v>
                </c:pt>
                <c:pt idx="15">
                  <c:v>12436.447265625</c:v>
                </c:pt>
                <c:pt idx="16">
                  <c:v>9493.87109375</c:v>
                </c:pt>
                <c:pt idx="17">
                  <c:v>6389.26123046875</c:v>
                </c:pt>
                <c:pt idx="18">
                  <c:v>256.05084228515602</c:v>
                </c:pt>
                <c:pt idx="19">
                  <c:v>-5939.1787109375</c:v>
                </c:pt>
                <c:pt idx="20">
                  <c:v>-4788.94189453125</c:v>
                </c:pt>
                <c:pt idx="21">
                  <c:v>-7831.54736328125</c:v>
                </c:pt>
                <c:pt idx="22">
                  <c:v>-16669.400390625</c:v>
                </c:pt>
                <c:pt idx="23">
                  <c:v>-17503.421875</c:v>
                </c:pt>
                <c:pt idx="24">
                  <c:v>-20061.98046875</c:v>
                </c:pt>
                <c:pt idx="25">
                  <c:v>-21918.34765625</c:v>
                </c:pt>
                <c:pt idx="26">
                  <c:v>-22026.365234375</c:v>
                </c:pt>
                <c:pt idx="27">
                  <c:v>-27419.4375</c:v>
                </c:pt>
                <c:pt idx="28">
                  <c:v>-22584.447265625</c:v>
                </c:pt>
                <c:pt idx="29">
                  <c:v>-17521.46875</c:v>
                </c:pt>
                <c:pt idx="30">
                  <c:v>-14058.7861328125</c:v>
                </c:pt>
                <c:pt idx="31">
                  <c:v>-7219.404296875</c:v>
                </c:pt>
                <c:pt idx="32">
                  <c:v>-9287.8232421875</c:v>
                </c:pt>
                <c:pt idx="33">
                  <c:v>2424.47778320312</c:v>
                </c:pt>
                <c:pt idx="34">
                  <c:v>23032.59765625</c:v>
                </c:pt>
                <c:pt idx="35">
                  <c:v>41686.1953125</c:v>
                </c:pt>
                <c:pt idx="36">
                  <c:v>47093.3203125</c:v>
                </c:pt>
                <c:pt idx="37">
                  <c:v>53514.51953125</c:v>
                </c:pt>
                <c:pt idx="38">
                  <c:v>51318.0859375</c:v>
                </c:pt>
                <c:pt idx="39">
                  <c:v>55402.80859375</c:v>
                </c:pt>
                <c:pt idx="40">
                  <c:v>52614.3359375</c:v>
                </c:pt>
                <c:pt idx="41">
                  <c:v>45384.515625</c:v>
                </c:pt>
                <c:pt idx="42">
                  <c:v>42582.23046875</c:v>
                </c:pt>
                <c:pt idx="43">
                  <c:v>45886.796875</c:v>
                </c:pt>
                <c:pt idx="44">
                  <c:v>40007.86328125</c:v>
                </c:pt>
                <c:pt idx="45">
                  <c:v>34348.7734375</c:v>
                </c:pt>
                <c:pt idx="46">
                  <c:v>25723.134765625</c:v>
                </c:pt>
                <c:pt idx="47">
                  <c:v>24820.919921875</c:v>
                </c:pt>
                <c:pt idx="48">
                  <c:v>27887.14453125</c:v>
                </c:pt>
                <c:pt idx="49">
                  <c:v>27167.353515625</c:v>
                </c:pt>
                <c:pt idx="50">
                  <c:v>22044.3046875</c:v>
                </c:pt>
                <c:pt idx="51">
                  <c:v>22188.228515625</c:v>
                </c:pt>
                <c:pt idx="52">
                  <c:v>25052.88671875</c:v>
                </c:pt>
                <c:pt idx="53">
                  <c:v>24442.798828125</c:v>
                </c:pt>
                <c:pt idx="54">
                  <c:v>23828.455078125</c:v>
                </c:pt>
                <c:pt idx="55">
                  <c:v>19219.6015625</c:v>
                </c:pt>
                <c:pt idx="56">
                  <c:v>18153.578125</c:v>
                </c:pt>
                <c:pt idx="57">
                  <c:v>18013.556640625</c:v>
                </c:pt>
                <c:pt idx="58">
                  <c:v>18121.56640625</c:v>
                </c:pt>
                <c:pt idx="59">
                  <c:v>17995.509765625</c:v>
                </c:pt>
                <c:pt idx="60">
                  <c:v>18115.4921875</c:v>
                </c:pt>
                <c:pt idx="61">
                  <c:v>19077.751953125</c:v>
                </c:pt>
                <c:pt idx="62">
                  <c:v>19601.88671875</c:v>
                </c:pt>
                <c:pt idx="63">
                  <c:v>18655.669921875</c:v>
                </c:pt>
                <c:pt idx="64">
                  <c:v>17593.474609375</c:v>
                </c:pt>
                <c:pt idx="65">
                  <c:v>13032.55859375</c:v>
                </c:pt>
                <c:pt idx="66">
                  <c:v>9627.9013671875</c:v>
                </c:pt>
                <c:pt idx="67">
                  <c:v>-276.05450439453102</c:v>
                </c:pt>
                <c:pt idx="68">
                  <c:v>-412.08151245117102</c:v>
                </c:pt>
                <c:pt idx="69">
                  <c:v>-1220.24243164062</c:v>
                </c:pt>
                <c:pt idx="70">
                  <c:v>-1184.23400878906</c:v>
                </c:pt>
                <c:pt idx="71">
                  <c:v>-3230.63696289062</c:v>
                </c:pt>
                <c:pt idx="72">
                  <c:v>3420.67602539062</c:v>
                </c:pt>
                <c:pt idx="73">
                  <c:v>4256.8408203125</c:v>
                </c:pt>
                <c:pt idx="74">
                  <c:v>8293.6142578125</c:v>
                </c:pt>
                <c:pt idx="75">
                  <c:v>24835.5234375</c:v>
                </c:pt>
                <c:pt idx="76">
                  <c:v>40405.953125</c:v>
                </c:pt>
                <c:pt idx="77">
                  <c:v>44083.73828125</c:v>
                </c:pt>
                <c:pt idx="78">
                  <c:v>56667.08203125</c:v>
                </c:pt>
                <c:pt idx="79">
                  <c:v>67475.2421875</c:v>
                </c:pt>
                <c:pt idx="80">
                  <c:v>67692.65625</c:v>
                </c:pt>
                <c:pt idx="81">
                  <c:v>86736.609375</c:v>
                </c:pt>
                <c:pt idx="82">
                  <c:v>101163.7578125</c:v>
                </c:pt>
                <c:pt idx="83">
                  <c:v>110048.296875</c:v>
                </c:pt>
                <c:pt idx="84">
                  <c:v>117702.65625</c:v>
                </c:pt>
                <c:pt idx="85">
                  <c:v>124046</c:v>
                </c:pt>
                <c:pt idx="86">
                  <c:v>129849.515625</c:v>
                </c:pt>
                <c:pt idx="87">
                  <c:v>118969.0703125</c:v>
                </c:pt>
                <c:pt idx="88">
                  <c:v>112739.8671875</c:v>
                </c:pt>
                <c:pt idx="89">
                  <c:v>114746.234375</c:v>
                </c:pt>
                <c:pt idx="90">
                  <c:v>104040.2109375</c:v>
                </c:pt>
                <c:pt idx="91">
                  <c:v>111577.7109375</c:v>
                </c:pt>
                <c:pt idx="92">
                  <c:v>89953.59375</c:v>
                </c:pt>
                <c:pt idx="93">
                  <c:v>76011.75</c:v>
                </c:pt>
                <c:pt idx="94">
                  <c:v>57201.203125</c:v>
                </c:pt>
                <c:pt idx="95">
                  <c:v>53802.421875</c:v>
                </c:pt>
                <c:pt idx="96">
                  <c:v>54492.703125</c:v>
                </c:pt>
                <c:pt idx="97">
                  <c:v>57781.7265625</c:v>
                </c:pt>
                <c:pt idx="98">
                  <c:v>51496.125</c:v>
                </c:pt>
                <c:pt idx="99">
                  <c:v>47663.109375</c:v>
                </c:pt>
                <c:pt idx="100">
                  <c:v>54876.78515625</c:v>
                </c:pt>
                <c:pt idx="101">
                  <c:v>53196.40234375</c:v>
                </c:pt>
                <c:pt idx="102">
                  <c:v>49661.8828125</c:v>
                </c:pt>
                <c:pt idx="103">
                  <c:v>41258.15625</c:v>
                </c:pt>
                <c:pt idx="104">
                  <c:v>40817.95703125</c:v>
                </c:pt>
                <c:pt idx="105">
                  <c:v>37273.265625</c:v>
                </c:pt>
                <c:pt idx="106">
                  <c:v>35626.78125</c:v>
                </c:pt>
                <c:pt idx="107">
                  <c:v>28181.1953125</c:v>
                </c:pt>
                <c:pt idx="108">
                  <c:v>23748.6484375</c:v>
                </c:pt>
                <c:pt idx="109">
                  <c:v>23336.818359375</c:v>
                </c:pt>
                <c:pt idx="110">
                  <c:v>22882.279296875</c:v>
                </c:pt>
                <c:pt idx="111">
                  <c:v>22928.55078125</c:v>
                </c:pt>
                <c:pt idx="112">
                  <c:v>18249.60546875</c:v>
                </c:pt>
                <c:pt idx="113">
                  <c:v>17531.462890625</c:v>
                </c:pt>
                <c:pt idx="114">
                  <c:v>7505.4814453125</c:v>
                </c:pt>
                <c:pt idx="115">
                  <c:v>3872.76708984375</c:v>
                </c:pt>
                <c:pt idx="116">
                  <c:v>-56.0110664367675</c:v>
                </c:pt>
                <c:pt idx="117">
                  <c:v>-2686.53100585937</c:v>
                </c:pt>
                <c:pt idx="118">
                  <c:v>-1990.38684082031</c:v>
                </c:pt>
                <c:pt idx="119">
                  <c:v>-4116.814453125</c:v>
                </c:pt>
                <c:pt idx="120">
                  <c:v>-5731.13330078125</c:v>
                </c:pt>
                <c:pt idx="121">
                  <c:v>-12396.4638671875</c:v>
                </c:pt>
                <c:pt idx="122">
                  <c:v>-12952.5615234375</c:v>
                </c:pt>
                <c:pt idx="123">
                  <c:v>-6925.39501953125</c:v>
                </c:pt>
                <c:pt idx="124">
                  <c:v>-7563.4892578125</c:v>
                </c:pt>
                <c:pt idx="125">
                  <c:v>-5927.17626953125</c:v>
                </c:pt>
                <c:pt idx="126">
                  <c:v>6.0011844635009703</c:v>
                </c:pt>
                <c:pt idx="127">
                  <c:v>4042.79223632812</c:v>
                </c:pt>
                <c:pt idx="128">
                  <c:v>10552.08203125</c:v>
                </c:pt>
                <c:pt idx="129">
                  <c:v>13502.6650390625</c:v>
                </c:pt>
                <c:pt idx="130">
                  <c:v>17747.505859375</c:v>
                </c:pt>
                <c:pt idx="131">
                  <c:v>29233.76171875</c:v>
                </c:pt>
                <c:pt idx="132">
                  <c:v>34242.6171875</c:v>
                </c:pt>
                <c:pt idx="133">
                  <c:v>33000.375</c:v>
                </c:pt>
                <c:pt idx="134">
                  <c:v>34274.7109375</c:v>
                </c:pt>
                <c:pt idx="135">
                  <c:v>33730.13671875</c:v>
                </c:pt>
                <c:pt idx="136">
                  <c:v>34800.9375</c:v>
                </c:pt>
                <c:pt idx="137">
                  <c:v>36061.09765625</c:v>
                </c:pt>
                <c:pt idx="138">
                  <c:v>31540.2109375</c:v>
                </c:pt>
                <c:pt idx="139">
                  <c:v>31594.2265625</c:v>
                </c:pt>
                <c:pt idx="140">
                  <c:v>29879.986328125</c:v>
                </c:pt>
                <c:pt idx="141">
                  <c:v>27171.3359375</c:v>
                </c:pt>
                <c:pt idx="142">
                  <c:v>25751.072265625</c:v>
                </c:pt>
                <c:pt idx="143">
                  <c:v>24650.90625</c:v>
                </c:pt>
                <c:pt idx="144">
                  <c:v>25921.115234375</c:v>
                </c:pt>
                <c:pt idx="145">
                  <c:v>27131.25</c:v>
                </c:pt>
                <c:pt idx="146">
                  <c:v>20668.103515625</c:v>
                </c:pt>
                <c:pt idx="147">
                  <c:v>20572.087890625</c:v>
                </c:pt>
                <c:pt idx="148">
                  <c:v>23190.265625</c:v>
                </c:pt>
                <c:pt idx="149">
                  <c:v>22440.359375</c:v>
                </c:pt>
                <c:pt idx="150">
                  <c:v>21822.3046875</c:v>
                </c:pt>
                <c:pt idx="151">
                  <c:v>17563.47265625</c:v>
                </c:pt>
                <c:pt idx="152">
                  <c:v>17527.453125</c:v>
                </c:pt>
                <c:pt idx="153">
                  <c:v>16067.2001953125</c:v>
                </c:pt>
                <c:pt idx="154">
                  <c:v>16091.2158203125</c:v>
                </c:pt>
                <c:pt idx="155">
                  <c:v>17539.513671875</c:v>
                </c:pt>
                <c:pt idx="156">
                  <c:v>18569.65234375</c:v>
                </c:pt>
                <c:pt idx="157">
                  <c:v>18949.697265625</c:v>
                </c:pt>
                <c:pt idx="158">
                  <c:v>21030.146484375</c:v>
                </c:pt>
                <c:pt idx="159">
                  <c:v>18219.599609375</c:v>
                </c:pt>
                <c:pt idx="160">
                  <c:v>14970.947265625</c:v>
                </c:pt>
                <c:pt idx="161">
                  <c:v>15963.1455078125</c:v>
                </c:pt>
                <c:pt idx="162">
                  <c:v>14732.9033203125</c:v>
                </c:pt>
                <c:pt idx="163">
                  <c:v>9729.91796875</c:v>
                </c:pt>
                <c:pt idx="164">
                  <c:v>5135.013671875</c:v>
                </c:pt>
                <c:pt idx="165">
                  <c:v>5893.16357421875</c:v>
                </c:pt>
                <c:pt idx="166">
                  <c:v>7039.390625</c:v>
                </c:pt>
                <c:pt idx="167">
                  <c:v>8057.5927734375</c:v>
                </c:pt>
                <c:pt idx="168">
                  <c:v>6431.26953125</c:v>
                </c:pt>
                <c:pt idx="169">
                  <c:v>2510.49609375</c:v>
                </c:pt>
                <c:pt idx="170">
                  <c:v>5056.99853515625</c:v>
                </c:pt>
                <c:pt idx="171">
                  <c:v>3158.62133789062</c:v>
                </c:pt>
                <c:pt idx="172">
                  <c:v>4722.93212890625</c:v>
                </c:pt>
                <c:pt idx="173">
                  <c:v>6533.291015625</c:v>
                </c:pt>
                <c:pt idx="174">
                  <c:v>7119.56494140625</c:v>
                </c:pt>
                <c:pt idx="175">
                  <c:v>5267.0390625</c:v>
                </c:pt>
                <c:pt idx="176">
                  <c:v>6945.373046875</c:v>
                </c:pt>
                <c:pt idx="177">
                  <c:v>9429.86328125</c:v>
                </c:pt>
                <c:pt idx="178">
                  <c:v>14448.8623046875</c:v>
                </c:pt>
                <c:pt idx="179">
                  <c:v>24886.955078125</c:v>
                </c:pt>
                <c:pt idx="180">
                  <c:v>27551.4296875</c:v>
                </c:pt>
                <c:pt idx="181">
                  <c:v>31480.208984375</c:v>
                </c:pt>
                <c:pt idx="182">
                  <c:v>30109.314453125</c:v>
                </c:pt>
                <c:pt idx="183">
                  <c:v>29999.9140625</c:v>
                </c:pt>
                <c:pt idx="184">
                  <c:v>36327.1796875</c:v>
                </c:pt>
                <c:pt idx="185">
                  <c:v>33312.53515625</c:v>
                </c:pt>
                <c:pt idx="186">
                  <c:v>31640.193359375</c:v>
                </c:pt>
                <c:pt idx="187">
                  <c:v>26973.30859375</c:v>
                </c:pt>
                <c:pt idx="188">
                  <c:v>28223.55859375</c:v>
                </c:pt>
                <c:pt idx="189">
                  <c:v>26341.189453125</c:v>
                </c:pt>
                <c:pt idx="190">
                  <c:v>26811.27734375</c:v>
                </c:pt>
                <c:pt idx="191">
                  <c:v>23166.451171875</c:v>
                </c:pt>
                <c:pt idx="192">
                  <c:v>24326.841796875</c:v>
                </c:pt>
                <c:pt idx="193">
                  <c:v>23954.470703125</c:v>
                </c:pt>
                <c:pt idx="194">
                  <c:v>21040.126953125</c:v>
                </c:pt>
                <c:pt idx="195">
                  <c:v>21206.921875</c:v>
                </c:pt>
                <c:pt idx="196">
                  <c:v>25216.970703125</c:v>
                </c:pt>
                <c:pt idx="197">
                  <c:v>23956.740234375</c:v>
                </c:pt>
                <c:pt idx="198">
                  <c:v>22810.4921875</c:v>
                </c:pt>
                <c:pt idx="199">
                  <c:v>17447.41015625</c:v>
                </c:pt>
                <c:pt idx="200">
                  <c:v>15701.0224609375</c:v>
                </c:pt>
                <c:pt idx="201">
                  <c:v>15000.9501953125</c:v>
                </c:pt>
                <c:pt idx="202">
                  <c:v>16147.212890625</c:v>
                </c:pt>
                <c:pt idx="203">
                  <c:v>15735.09375</c:v>
                </c:pt>
                <c:pt idx="204">
                  <c:v>18329.892578125</c:v>
                </c:pt>
                <c:pt idx="205">
                  <c:v>21376.21875</c:v>
                </c:pt>
                <c:pt idx="206">
                  <c:v>19465.841796875</c:v>
                </c:pt>
                <c:pt idx="207">
                  <c:v>20464.029296875</c:v>
                </c:pt>
                <c:pt idx="208">
                  <c:v>12005.931640625</c:v>
                </c:pt>
                <c:pt idx="209">
                  <c:v>5439.05517578125</c:v>
                </c:pt>
                <c:pt idx="210">
                  <c:v>-1196.23620605468</c:v>
                </c:pt>
                <c:pt idx="211">
                  <c:v>-7045.3994140625</c:v>
                </c:pt>
                <c:pt idx="212">
                  <c:v>-14174.7998046875</c:v>
                </c:pt>
                <c:pt idx="213">
                  <c:v>-16299.2275390625</c:v>
                </c:pt>
                <c:pt idx="214">
                  <c:v>-24008.783203125</c:v>
                </c:pt>
                <c:pt idx="215">
                  <c:v>-16495.271484375</c:v>
                </c:pt>
                <c:pt idx="216">
                  <c:v>-13854.7451171875</c:v>
                </c:pt>
                <c:pt idx="217">
                  <c:v>-20145.9921875</c:v>
                </c:pt>
                <c:pt idx="218">
                  <c:v>-18969.765625</c:v>
                </c:pt>
                <c:pt idx="219">
                  <c:v>-17281.951171875</c:v>
                </c:pt>
                <c:pt idx="220">
                  <c:v>-11058.197265625</c:v>
                </c:pt>
                <c:pt idx="221">
                  <c:v>-8765.7197265625</c:v>
                </c:pt>
                <c:pt idx="222">
                  <c:v>-254.05032348632801</c:v>
                </c:pt>
                <c:pt idx="223">
                  <c:v>9943.947265625</c:v>
                </c:pt>
                <c:pt idx="224">
                  <c:v>22598.4921875</c:v>
                </c:pt>
                <c:pt idx="225">
                  <c:v>32892.5</c:v>
                </c:pt>
                <c:pt idx="226">
                  <c:v>37615.37109375</c:v>
                </c:pt>
                <c:pt idx="227">
                  <c:v>45228.8359375</c:v>
                </c:pt>
                <c:pt idx="228">
                  <c:v>54488.40625</c:v>
                </c:pt>
                <c:pt idx="229">
                  <c:v>65465.21484375</c:v>
                </c:pt>
                <c:pt idx="230">
                  <c:v>69071.0078125</c:v>
                </c:pt>
                <c:pt idx="231">
                  <c:v>66536.4609375</c:v>
                </c:pt>
                <c:pt idx="232">
                  <c:v>63601.953125</c:v>
                </c:pt>
                <c:pt idx="233">
                  <c:v>61229.26171875</c:v>
                </c:pt>
                <c:pt idx="234">
                  <c:v>62992.2578125</c:v>
                </c:pt>
                <c:pt idx="235">
                  <c:v>58993.3359375</c:v>
                </c:pt>
                <c:pt idx="236">
                  <c:v>55901.0390625</c:v>
                </c:pt>
                <c:pt idx="237">
                  <c:v>51387.75390625</c:v>
                </c:pt>
                <c:pt idx="238">
                  <c:v>47971.44921875</c:v>
                </c:pt>
                <c:pt idx="239">
                  <c:v>38367.37109375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0B-4AFC-BC15-B70EA5910442}"/>
            </c:ext>
          </c:extLst>
        </c:ser>
        <c:ser>
          <c:idx val="6"/>
          <c:order val="6"/>
          <c:tx>
            <c:strRef>
              <c:f>measured_powers!$H$252</c:f>
              <c:strCache>
                <c:ptCount val="1"/>
                <c:pt idx="0">
                  <c:v>p_671_A_W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measured_powers!$A$253:$A$492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measured_powers!$H$253:$H$492</c:f>
              <c:numCache>
                <c:formatCode>General</c:formatCode>
                <c:ptCount val="240"/>
                <c:pt idx="0">
                  <c:v>96272.4140625</c:v>
                </c:pt>
                <c:pt idx="1">
                  <c:v>87418.4140625</c:v>
                </c:pt>
                <c:pt idx="2">
                  <c:v>74641.4296875</c:v>
                </c:pt>
                <c:pt idx="3">
                  <c:v>72785.625</c:v>
                </c:pt>
                <c:pt idx="4">
                  <c:v>63790.77734375</c:v>
                </c:pt>
                <c:pt idx="5">
                  <c:v>64896.75</c:v>
                </c:pt>
                <c:pt idx="6">
                  <c:v>64168.96875</c:v>
                </c:pt>
                <c:pt idx="7">
                  <c:v>65208.9609375</c:v>
                </c:pt>
                <c:pt idx="8">
                  <c:v>66223.453125</c:v>
                </c:pt>
                <c:pt idx="9">
                  <c:v>66645.546875</c:v>
                </c:pt>
                <c:pt idx="10">
                  <c:v>74917.484375</c:v>
                </c:pt>
                <c:pt idx="11">
                  <c:v>75375.5546875</c:v>
                </c:pt>
                <c:pt idx="12">
                  <c:v>73387.453125</c:v>
                </c:pt>
                <c:pt idx="13">
                  <c:v>71120.015625</c:v>
                </c:pt>
                <c:pt idx="14">
                  <c:v>66114.34375</c:v>
                </c:pt>
                <c:pt idx="15">
                  <c:v>50059.671875</c:v>
                </c:pt>
                <c:pt idx="16">
                  <c:v>39035.11328125</c:v>
                </c:pt>
                <c:pt idx="17">
                  <c:v>33055.7109375</c:v>
                </c:pt>
                <c:pt idx="18">
                  <c:v>6769.576171875</c:v>
                </c:pt>
                <c:pt idx="19">
                  <c:v>-11262.6240234375</c:v>
                </c:pt>
                <c:pt idx="20">
                  <c:v>-28876.703125</c:v>
                </c:pt>
                <c:pt idx="21">
                  <c:v>-46858.88671875</c:v>
                </c:pt>
                <c:pt idx="22">
                  <c:v>-62971.0703125</c:v>
                </c:pt>
                <c:pt idx="23">
                  <c:v>-64672.359375</c:v>
                </c:pt>
                <c:pt idx="24">
                  <c:v>-68839.578125</c:v>
                </c:pt>
                <c:pt idx="25">
                  <c:v>-70948.4765625</c:v>
                </c:pt>
                <c:pt idx="26">
                  <c:v>-77798.0703125</c:v>
                </c:pt>
                <c:pt idx="27">
                  <c:v>-78650.25</c:v>
                </c:pt>
                <c:pt idx="28">
                  <c:v>-69512.109375</c:v>
                </c:pt>
                <c:pt idx="29">
                  <c:v>-60109.953125</c:v>
                </c:pt>
                <c:pt idx="30">
                  <c:v>-32625.580078125</c:v>
                </c:pt>
                <c:pt idx="31">
                  <c:v>-11959.0390625</c:v>
                </c:pt>
                <c:pt idx="32">
                  <c:v>6857.59716796875</c:v>
                </c:pt>
                <c:pt idx="33">
                  <c:v>32705.6328125</c:v>
                </c:pt>
                <c:pt idx="34">
                  <c:v>65208.6015625</c:v>
                </c:pt>
                <c:pt idx="35">
                  <c:v>106745.015625</c:v>
                </c:pt>
                <c:pt idx="36">
                  <c:v>133615.3125</c:v>
                </c:pt>
                <c:pt idx="37">
                  <c:v>156590.734375</c:v>
                </c:pt>
                <c:pt idx="38">
                  <c:v>152791.796875</c:v>
                </c:pt>
                <c:pt idx="39">
                  <c:v>146594.34375</c:v>
                </c:pt>
                <c:pt idx="40">
                  <c:v>150663.34375</c:v>
                </c:pt>
                <c:pt idx="41">
                  <c:v>162973.171875</c:v>
                </c:pt>
                <c:pt idx="42">
                  <c:v>153888.859375</c:v>
                </c:pt>
                <c:pt idx="43">
                  <c:v>163343.4375</c:v>
                </c:pt>
                <c:pt idx="44">
                  <c:v>151779.625</c:v>
                </c:pt>
                <c:pt idx="45">
                  <c:v>128100.015625</c:v>
                </c:pt>
                <c:pt idx="46">
                  <c:v>111738.265625</c:v>
                </c:pt>
                <c:pt idx="47">
                  <c:v>100986.96875</c:v>
                </c:pt>
                <c:pt idx="48">
                  <c:v>96305.9921875</c:v>
                </c:pt>
                <c:pt idx="49">
                  <c:v>86854.265625</c:v>
                </c:pt>
                <c:pt idx="50">
                  <c:v>74157.2578125</c:v>
                </c:pt>
                <c:pt idx="51">
                  <c:v>68948.5546875</c:v>
                </c:pt>
                <c:pt idx="52">
                  <c:v>70042.2109375</c:v>
                </c:pt>
                <c:pt idx="53">
                  <c:v>66101.0078125</c:v>
                </c:pt>
                <c:pt idx="54">
                  <c:v>67029.34375</c:v>
                </c:pt>
                <c:pt idx="55">
                  <c:v>71501.0390625</c:v>
                </c:pt>
                <c:pt idx="56">
                  <c:v>72598.9453125</c:v>
                </c:pt>
                <c:pt idx="57">
                  <c:v>72330.875</c:v>
                </c:pt>
                <c:pt idx="58">
                  <c:v>71688.71875</c:v>
                </c:pt>
                <c:pt idx="59">
                  <c:v>76291.7265625</c:v>
                </c:pt>
                <c:pt idx="60">
                  <c:v>77250.4375</c:v>
                </c:pt>
                <c:pt idx="61">
                  <c:v>75615.671875</c:v>
                </c:pt>
                <c:pt idx="62">
                  <c:v>66115.0703125</c:v>
                </c:pt>
                <c:pt idx="63">
                  <c:v>53496.48828125</c:v>
                </c:pt>
                <c:pt idx="64">
                  <c:v>51540.02734375</c:v>
                </c:pt>
                <c:pt idx="65">
                  <c:v>31973.44921875</c:v>
                </c:pt>
                <c:pt idx="66">
                  <c:v>18258.2578125</c:v>
                </c:pt>
                <c:pt idx="67">
                  <c:v>10430.3564453125</c:v>
                </c:pt>
                <c:pt idx="68">
                  <c:v>42341.859375</c:v>
                </c:pt>
                <c:pt idx="69">
                  <c:v>45078.5078125</c:v>
                </c:pt>
                <c:pt idx="70">
                  <c:v>48985.40625</c:v>
                </c:pt>
                <c:pt idx="71">
                  <c:v>41099.60546875</c:v>
                </c:pt>
                <c:pt idx="72">
                  <c:v>57435.390625</c:v>
                </c:pt>
                <c:pt idx="73">
                  <c:v>80046.7265625</c:v>
                </c:pt>
                <c:pt idx="74">
                  <c:v>87698.234375</c:v>
                </c:pt>
                <c:pt idx="75">
                  <c:v>105174.234375</c:v>
                </c:pt>
                <c:pt idx="76">
                  <c:v>134073.40625</c:v>
                </c:pt>
                <c:pt idx="77">
                  <c:v>172943</c:v>
                </c:pt>
                <c:pt idx="78">
                  <c:v>182354.8125</c:v>
                </c:pt>
                <c:pt idx="79">
                  <c:v>194619.703125</c:v>
                </c:pt>
                <c:pt idx="80">
                  <c:v>216179.765625</c:v>
                </c:pt>
                <c:pt idx="81">
                  <c:v>251141.78125</c:v>
                </c:pt>
                <c:pt idx="82">
                  <c:v>290002.875</c:v>
                </c:pt>
                <c:pt idx="83">
                  <c:v>325677.5625</c:v>
                </c:pt>
                <c:pt idx="84">
                  <c:v>355674.75</c:v>
                </c:pt>
                <c:pt idx="85">
                  <c:v>350052.40625</c:v>
                </c:pt>
                <c:pt idx="86">
                  <c:v>376136.9375</c:v>
                </c:pt>
                <c:pt idx="87">
                  <c:v>394497.21875</c:v>
                </c:pt>
                <c:pt idx="88">
                  <c:v>394092.375</c:v>
                </c:pt>
                <c:pt idx="89">
                  <c:v>377224.3125</c:v>
                </c:pt>
                <c:pt idx="90">
                  <c:v>362338.65625</c:v>
                </c:pt>
                <c:pt idx="91">
                  <c:v>340591.375</c:v>
                </c:pt>
                <c:pt idx="92">
                  <c:v>294828.46875</c:v>
                </c:pt>
                <c:pt idx="93">
                  <c:v>266684.09375</c:v>
                </c:pt>
                <c:pt idx="94">
                  <c:v>228687.796875</c:v>
                </c:pt>
                <c:pt idx="95">
                  <c:v>208739.046875</c:v>
                </c:pt>
                <c:pt idx="96">
                  <c:v>173562.859375</c:v>
                </c:pt>
                <c:pt idx="97">
                  <c:v>168962.640625</c:v>
                </c:pt>
                <c:pt idx="98">
                  <c:v>156122.671875</c:v>
                </c:pt>
                <c:pt idx="99">
                  <c:v>140348.765625</c:v>
                </c:pt>
                <c:pt idx="100">
                  <c:v>134105.5625</c:v>
                </c:pt>
                <c:pt idx="101">
                  <c:v>140448.484375</c:v>
                </c:pt>
                <c:pt idx="102">
                  <c:v>133065.359375</c:v>
                </c:pt>
                <c:pt idx="103">
                  <c:v>129530.390625</c:v>
                </c:pt>
                <c:pt idx="104">
                  <c:v>119137.890625</c:v>
                </c:pt>
                <c:pt idx="105">
                  <c:v>114862.875</c:v>
                </c:pt>
                <c:pt idx="106">
                  <c:v>109823.1796875</c:v>
                </c:pt>
                <c:pt idx="107">
                  <c:v>101447.0625</c:v>
                </c:pt>
                <c:pt idx="108">
                  <c:v>93767.8359375</c:v>
                </c:pt>
                <c:pt idx="109">
                  <c:v>99215.7109375</c:v>
                </c:pt>
                <c:pt idx="110">
                  <c:v>80428.4609375</c:v>
                </c:pt>
                <c:pt idx="111">
                  <c:v>60479.76171875</c:v>
                </c:pt>
                <c:pt idx="112">
                  <c:v>53308.453125</c:v>
                </c:pt>
                <c:pt idx="113">
                  <c:v>44446.3671875</c:v>
                </c:pt>
                <c:pt idx="114">
                  <c:v>29730.927734375</c:v>
                </c:pt>
                <c:pt idx="115">
                  <c:v>13591.9091796875</c:v>
                </c:pt>
                <c:pt idx="116">
                  <c:v>12642.9384765625</c:v>
                </c:pt>
                <c:pt idx="117">
                  <c:v>-5017.16552734375</c:v>
                </c:pt>
                <c:pt idx="118">
                  <c:v>-16649.916015625</c:v>
                </c:pt>
                <c:pt idx="119">
                  <c:v>-16489.841796875</c:v>
                </c:pt>
                <c:pt idx="120">
                  <c:v>-24947.80859375</c:v>
                </c:pt>
                <c:pt idx="121">
                  <c:v>-32423.580078125</c:v>
                </c:pt>
                <c:pt idx="122">
                  <c:v>-40209.34375</c:v>
                </c:pt>
                <c:pt idx="123">
                  <c:v>-17210.03125</c:v>
                </c:pt>
                <c:pt idx="124">
                  <c:v>-23885.537109375</c:v>
                </c:pt>
                <c:pt idx="125">
                  <c:v>-23207.392578125</c:v>
                </c:pt>
                <c:pt idx="126">
                  <c:v>-19728.583984375</c:v>
                </c:pt>
                <c:pt idx="127">
                  <c:v>10348.408203125</c:v>
                </c:pt>
                <c:pt idx="128">
                  <c:v>22975.359375</c:v>
                </c:pt>
                <c:pt idx="129">
                  <c:v>29290.828125</c:v>
                </c:pt>
                <c:pt idx="130">
                  <c:v>52750.31640625</c:v>
                </c:pt>
                <c:pt idx="131">
                  <c:v>76265.8359375</c:v>
                </c:pt>
                <c:pt idx="132">
                  <c:v>107982.84375</c:v>
                </c:pt>
                <c:pt idx="133">
                  <c:v>119379.4296875</c:v>
                </c:pt>
                <c:pt idx="134">
                  <c:v>116972.5390625</c:v>
                </c:pt>
                <c:pt idx="135">
                  <c:v>113631.7265625</c:v>
                </c:pt>
                <c:pt idx="136">
                  <c:v>111358.25</c:v>
                </c:pt>
                <c:pt idx="137">
                  <c:v>114644.875</c:v>
                </c:pt>
                <c:pt idx="138">
                  <c:v>112054.2578125</c:v>
                </c:pt>
                <c:pt idx="139">
                  <c:v>104404.3984375</c:v>
                </c:pt>
                <c:pt idx="140">
                  <c:v>107126.28125</c:v>
                </c:pt>
                <c:pt idx="141">
                  <c:v>102591.3203125</c:v>
                </c:pt>
                <c:pt idx="142">
                  <c:v>91703.40625</c:v>
                </c:pt>
                <c:pt idx="143">
                  <c:v>85906.109375</c:v>
                </c:pt>
                <c:pt idx="144">
                  <c:v>80138.703125</c:v>
                </c:pt>
                <c:pt idx="145">
                  <c:v>77753.96875</c:v>
                </c:pt>
                <c:pt idx="146">
                  <c:v>66575.1640625</c:v>
                </c:pt>
                <c:pt idx="147">
                  <c:v>64859.19140625</c:v>
                </c:pt>
                <c:pt idx="148">
                  <c:v>67213.9921875</c:v>
                </c:pt>
                <c:pt idx="149">
                  <c:v>59195.87109375</c:v>
                </c:pt>
                <c:pt idx="150">
                  <c:v>58175.56640625</c:v>
                </c:pt>
                <c:pt idx="151">
                  <c:v>58607.6640625</c:v>
                </c:pt>
                <c:pt idx="152">
                  <c:v>57525.40625</c:v>
                </c:pt>
                <c:pt idx="153">
                  <c:v>55267.4609375</c:v>
                </c:pt>
                <c:pt idx="154">
                  <c:v>63701.03125</c:v>
                </c:pt>
                <c:pt idx="155">
                  <c:v>68179.71875</c:v>
                </c:pt>
                <c:pt idx="156">
                  <c:v>73908.7734375</c:v>
                </c:pt>
                <c:pt idx="157">
                  <c:v>74867.8515625</c:v>
                </c:pt>
                <c:pt idx="158">
                  <c:v>73795.234375</c:v>
                </c:pt>
                <c:pt idx="159">
                  <c:v>64895.15234375</c:v>
                </c:pt>
                <c:pt idx="160">
                  <c:v>56927.2734375</c:v>
                </c:pt>
                <c:pt idx="161">
                  <c:v>54466.6875</c:v>
                </c:pt>
                <c:pt idx="162">
                  <c:v>54688.7421875</c:v>
                </c:pt>
                <c:pt idx="163">
                  <c:v>45672.37890625</c:v>
                </c:pt>
                <c:pt idx="164">
                  <c:v>31545.3671875</c:v>
                </c:pt>
                <c:pt idx="165">
                  <c:v>31561.36328125</c:v>
                </c:pt>
                <c:pt idx="166">
                  <c:v>17780.146484375</c:v>
                </c:pt>
                <c:pt idx="167">
                  <c:v>17200.005859375</c:v>
                </c:pt>
                <c:pt idx="168">
                  <c:v>4194.95068359375</c:v>
                </c:pt>
                <c:pt idx="169">
                  <c:v>8043.8203125</c:v>
                </c:pt>
                <c:pt idx="170">
                  <c:v>13833.216796875</c:v>
                </c:pt>
                <c:pt idx="171">
                  <c:v>19110.435546875</c:v>
                </c:pt>
                <c:pt idx="172">
                  <c:v>11858.7646484375</c:v>
                </c:pt>
                <c:pt idx="173">
                  <c:v>8125.89453125</c:v>
                </c:pt>
                <c:pt idx="174">
                  <c:v>3732.87060546875</c:v>
                </c:pt>
                <c:pt idx="175">
                  <c:v>13917.240234375</c:v>
                </c:pt>
                <c:pt idx="176">
                  <c:v>16513.845703125</c:v>
                </c:pt>
                <c:pt idx="177">
                  <c:v>26120.078125</c:v>
                </c:pt>
                <c:pt idx="178">
                  <c:v>54224.625</c:v>
                </c:pt>
                <c:pt idx="179">
                  <c:v>76407.8359375</c:v>
                </c:pt>
                <c:pt idx="180">
                  <c:v>88568.6640625</c:v>
                </c:pt>
                <c:pt idx="181">
                  <c:v>93891.8984375</c:v>
                </c:pt>
                <c:pt idx="182">
                  <c:v>107611.671875</c:v>
                </c:pt>
                <c:pt idx="183">
                  <c:v>113078.4765625</c:v>
                </c:pt>
                <c:pt idx="184">
                  <c:v>122328.6640625</c:v>
                </c:pt>
                <c:pt idx="185">
                  <c:v>122488.671875</c:v>
                </c:pt>
                <c:pt idx="186">
                  <c:v>117929.5859375</c:v>
                </c:pt>
                <c:pt idx="187">
                  <c:v>108282.640625</c:v>
                </c:pt>
                <c:pt idx="188">
                  <c:v>107891.21875</c:v>
                </c:pt>
                <c:pt idx="189">
                  <c:v>101703.75</c:v>
                </c:pt>
                <c:pt idx="190">
                  <c:v>93989.921875</c:v>
                </c:pt>
                <c:pt idx="191">
                  <c:v>84256.640625</c:v>
                </c:pt>
                <c:pt idx="192">
                  <c:v>76855.1640625</c:v>
                </c:pt>
                <c:pt idx="193">
                  <c:v>76302.9609375</c:v>
                </c:pt>
                <c:pt idx="194">
                  <c:v>67981.859375</c:v>
                </c:pt>
                <c:pt idx="195">
                  <c:v>64267.2734375</c:v>
                </c:pt>
                <c:pt idx="196">
                  <c:v>58553.65234375</c:v>
                </c:pt>
                <c:pt idx="197">
                  <c:v>56161.09765625</c:v>
                </c:pt>
                <c:pt idx="198">
                  <c:v>59903.9609375</c:v>
                </c:pt>
                <c:pt idx="199">
                  <c:v>56172.984375</c:v>
                </c:pt>
                <c:pt idx="200">
                  <c:v>55547.77734375</c:v>
                </c:pt>
                <c:pt idx="201">
                  <c:v>57173.34375</c:v>
                </c:pt>
                <c:pt idx="202">
                  <c:v>62608.6484375</c:v>
                </c:pt>
                <c:pt idx="203">
                  <c:v>65185.19921875</c:v>
                </c:pt>
                <c:pt idx="204">
                  <c:v>66899.9140625</c:v>
                </c:pt>
                <c:pt idx="205">
                  <c:v>66125.4296875</c:v>
                </c:pt>
                <c:pt idx="206">
                  <c:v>58903.73828125</c:v>
                </c:pt>
                <c:pt idx="207">
                  <c:v>48285.2578125</c:v>
                </c:pt>
                <c:pt idx="208">
                  <c:v>26758.2890625</c:v>
                </c:pt>
                <c:pt idx="209">
                  <c:v>11689.1123046875</c:v>
                </c:pt>
                <c:pt idx="210">
                  <c:v>-4080.95190429687</c:v>
                </c:pt>
                <c:pt idx="211">
                  <c:v>-28154.572265625</c:v>
                </c:pt>
                <c:pt idx="212">
                  <c:v>-52926.2734375</c:v>
                </c:pt>
                <c:pt idx="213">
                  <c:v>-68103.8203125</c:v>
                </c:pt>
                <c:pt idx="214">
                  <c:v>-60710.10546875</c:v>
                </c:pt>
                <c:pt idx="215">
                  <c:v>-63694.7578125</c:v>
                </c:pt>
                <c:pt idx="216">
                  <c:v>-54786.72265625</c:v>
                </c:pt>
                <c:pt idx="217">
                  <c:v>-52388.14453125</c:v>
                </c:pt>
                <c:pt idx="218">
                  <c:v>-54450.63671875</c:v>
                </c:pt>
                <c:pt idx="219">
                  <c:v>-45466.4296875</c:v>
                </c:pt>
                <c:pt idx="220">
                  <c:v>-18082.20703125</c:v>
                </c:pt>
                <c:pt idx="221">
                  <c:v>1236.28698730468</c:v>
                </c:pt>
                <c:pt idx="222">
                  <c:v>29332.830078125</c:v>
                </c:pt>
                <c:pt idx="223">
                  <c:v>35396.23046875</c:v>
                </c:pt>
                <c:pt idx="224">
                  <c:v>37364.72265625</c:v>
                </c:pt>
                <c:pt idx="225">
                  <c:v>83859.5390625</c:v>
                </c:pt>
                <c:pt idx="226">
                  <c:v>127625.3828125</c:v>
                </c:pt>
                <c:pt idx="227">
                  <c:v>150100.984375</c:v>
                </c:pt>
                <c:pt idx="228">
                  <c:v>189776.359375</c:v>
                </c:pt>
                <c:pt idx="229">
                  <c:v>218363.953125</c:v>
                </c:pt>
                <c:pt idx="230">
                  <c:v>243425.390625</c:v>
                </c:pt>
                <c:pt idx="231">
                  <c:v>249218.515625</c:v>
                </c:pt>
                <c:pt idx="232">
                  <c:v>250171.875</c:v>
                </c:pt>
                <c:pt idx="233">
                  <c:v>252774.0625</c:v>
                </c:pt>
                <c:pt idx="234">
                  <c:v>234683.890625</c:v>
                </c:pt>
                <c:pt idx="235">
                  <c:v>210413.890625</c:v>
                </c:pt>
                <c:pt idx="236">
                  <c:v>189242.546875</c:v>
                </c:pt>
                <c:pt idx="237">
                  <c:v>165367.234375</c:v>
                </c:pt>
                <c:pt idx="238">
                  <c:v>161262</c:v>
                </c:pt>
                <c:pt idx="239">
                  <c:v>145971.578125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D0B-4AFC-BC15-B70EA5910442}"/>
            </c:ext>
          </c:extLst>
        </c:ser>
        <c:ser>
          <c:idx val="7"/>
          <c:order val="7"/>
          <c:tx>
            <c:strRef>
              <c:f>measured_powers!$I$252</c:f>
              <c:strCache>
                <c:ptCount val="1"/>
                <c:pt idx="0">
                  <c:v>p_671_B_W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measured_powers!$A$253:$A$492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measured_powers!$I$253:$I$492</c:f>
              <c:numCache>
                <c:formatCode>General</c:formatCode>
                <c:ptCount val="240"/>
                <c:pt idx="0">
                  <c:v>86422.8671875</c:v>
                </c:pt>
                <c:pt idx="1">
                  <c:v>88301.546875</c:v>
                </c:pt>
                <c:pt idx="2">
                  <c:v>76381.25</c:v>
                </c:pt>
                <c:pt idx="3">
                  <c:v>68606.3125</c:v>
                </c:pt>
                <c:pt idx="4">
                  <c:v>70383.1015625</c:v>
                </c:pt>
                <c:pt idx="5">
                  <c:v>68950.609375</c:v>
                </c:pt>
                <c:pt idx="6">
                  <c:v>66901.8515625</c:v>
                </c:pt>
                <c:pt idx="7">
                  <c:v>63869.69921875</c:v>
                </c:pt>
                <c:pt idx="8">
                  <c:v>64679.078125</c:v>
                </c:pt>
                <c:pt idx="9">
                  <c:v>62862.4375</c:v>
                </c:pt>
                <c:pt idx="10">
                  <c:v>61401.890625</c:v>
                </c:pt>
                <c:pt idx="11">
                  <c:v>62320.25390625</c:v>
                </c:pt>
                <c:pt idx="12">
                  <c:v>63343.8046875</c:v>
                </c:pt>
                <c:pt idx="13">
                  <c:v>66965.28125</c:v>
                </c:pt>
                <c:pt idx="14">
                  <c:v>66529.7578125</c:v>
                </c:pt>
                <c:pt idx="15">
                  <c:v>44387.85546875</c:v>
                </c:pt>
                <c:pt idx="16">
                  <c:v>33029.78515625</c:v>
                </c:pt>
                <c:pt idx="17">
                  <c:v>14437.1513671875</c:v>
                </c:pt>
                <c:pt idx="18">
                  <c:v>-6958.48681640625</c:v>
                </c:pt>
                <c:pt idx="19">
                  <c:v>-28148.044921875</c:v>
                </c:pt>
                <c:pt idx="20">
                  <c:v>-37581.41015625</c:v>
                </c:pt>
                <c:pt idx="21">
                  <c:v>-54933.60546875</c:v>
                </c:pt>
                <c:pt idx="22">
                  <c:v>-73553.359375</c:v>
                </c:pt>
                <c:pt idx="23">
                  <c:v>-70657.2265625</c:v>
                </c:pt>
                <c:pt idx="24">
                  <c:v>-70891.328125</c:v>
                </c:pt>
                <c:pt idx="25">
                  <c:v>-73519.953125</c:v>
                </c:pt>
                <c:pt idx="26">
                  <c:v>-74612.6484375</c:v>
                </c:pt>
                <c:pt idx="27">
                  <c:v>-84106.03125</c:v>
                </c:pt>
                <c:pt idx="28">
                  <c:v>-71829.640625</c:v>
                </c:pt>
                <c:pt idx="29">
                  <c:v>-58586.90625</c:v>
                </c:pt>
                <c:pt idx="30">
                  <c:v>-28348.115234375</c:v>
                </c:pt>
                <c:pt idx="31">
                  <c:v>1832.69482421875</c:v>
                </c:pt>
                <c:pt idx="32">
                  <c:v>11318.0361328125</c:v>
                </c:pt>
                <c:pt idx="33">
                  <c:v>29504.51953125</c:v>
                </c:pt>
                <c:pt idx="34">
                  <c:v>61907.49609375</c:v>
                </c:pt>
                <c:pt idx="35">
                  <c:v>114916.984375</c:v>
                </c:pt>
                <c:pt idx="36">
                  <c:v>139653.84375</c:v>
                </c:pt>
                <c:pt idx="37">
                  <c:v>148000.375</c:v>
                </c:pt>
                <c:pt idx="38">
                  <c:v>149877.453125</c:v>
                </c:pt>
                <c:pt idx="39">
                  <c:v>155259.453125</c:v>
                </c:pt>
                <c:pt idx="40">
                  <c:v>138153.25</c:v>
                </c:pt>
                <c:pt idx="41">
                  <c:v>128971.921875</c:v>
                </c:pt>
                <c:pt idx="42">
                  <c:v>127385.5390625</c:v>
                </c:pt>
                <c:pt idx="43">
                  <c:v>126725.1171875</c:v>
                </c:pt>
                <c:pt idx="44">
                  <c:v>116811.7421875</c:v>
                </c:pt>
                <c:pt idx="45">
                  <c:v>109699.15625</c:v>
                </c:pt>
                <c:pt idx="46">
                  <c:v>95776.1953125</c:v>
                </c:pt>
                <c:pt idx="47">
                  <c:v>84672.1640625</c:v>
                </c:pt>
                <c:pt idx="48">
                  <c:v>80966.8828125</c:v>
                </c:pt>
                <c:pt idx="49">
                  <c:v>75278.8828125</c:v>
                </c:pt>
                <c:pt idx="50">
                  <c:v>69974.9921875</c:v>
                </c:pt>
                <c:pt idx="51">
                  <c:v>65294.26953125</c:v>
                </c:pt>
                <c:pt idx="52">
                  <c:v>70963.3046875</c:v>
                </c:pt>
                <c:pt idx="53">
                  <c:v>68084.296875</c:v>
                </c:pt>
                <c:pt idx="54">
                  <c:v>70593.1328125</c:v>
                </c:pt>
                <c:pt idx="55">
                  <c:v>63399.44140625</c:v>
                </c:pt>
                <c:pt idx="56">
                  <c:v>64725.09765625</c:v>
                </c:pt>
                <c:pt idx="57">
                  <c:v>62054.13671875</c:v>
                </c:pt>
                <c:pt idx="58">
                  <c:v>60613.640625</c:v>
                </c:pt>
                <c:pt idx="59">
                  <c:v>60399.5625</c:v>
                </c:pt>
                <c:pt idx="60">
                  <c:v>60417.08203125</c:v>
                </c:pt>
                <c:pt idx="61">
                  <c:v>64789.10546875</c:v>
                </c:pt>
                <c:pt idx="62">
                  <c:v>53665.15625</c:v>
                </c:pt>
                <c:pt idx="63">
                  <c:v>47302.89453125</c:v>
                </c:pt>
                <c:pt idx="64">
                  <c:v>35262.58203125</c:v>
                </c:pt>
                <c:pt idx="65">
                  <c:v>23158.978515625</c:v>
                </c:pt>
                <c:pt idx="66">
                  <c:v>-812.28997802734295</c:v>
                </c:pt>
                <c:pt idx="67">
                  <c:v>-11498.1044921875</c:v>
                </c:pt>
                <c:pt idx="68">
                  <c:v>-5273.88232421875</c:v>
                </c:pt>
                <c:pt idx="69">
                  <c:v>-7171.705078125</c:v>
                </c:pt>
                <c:pt idx="70">
                  <c:v>446.15927124023398</c:v>
                </c:pt>
                <c:pt idx="71">
                  <c:v>-1316.46997070312</c:v>
                </c:pt>
                <c:pt idx="72">
                  <c:v>5870.09423828125</c:v>
                </c:pt>
                <c:pt idx="73">
                  <c:v>8521.041015625</c:v>
                </c:pt>
                <c:pt idx="74">
                  <c:v>8701.103515625</c:v>
                </c:pt>
                <c:pt idx="75">
                  <c:v>47927.1015625</c:v>
                </c:pt>
                <c:pt idx="76">
                  <c:v>92734.9921875</c:v>
                </c:pt>
                <c:pt idx="77">
                  <c:v>107994.4609375</c:v>
                </c:pt>
                <c:pt idx="78">
                  <c:v>127541.4375</c:v>
                </c:pt>
                <c:pt idx="79">
                  <c:v>143078.859375</c:v>
                </c:pt>
                <c:pt idx="80">
                  <c:v>165987</c:v>
                </c:pt>
                <c:pt idx="81">
                  <c:v>231186.53125</c:v>
                </c:pt>
                <c:pt idx="82">
                  <c:v>271650.40625</c:v>
                </c:pt>
                <c:pt idx="83">
                  <c:v>326026.25</c:v>
                </c:pt>
                <c:pt idx="84">
                  <c:v>361998.8125</c:v>
                </c:pt>
                <c:pt idx="85">
                  <c:v>380732.15625</c:v>
                </c:pt>
                <c:pt idx="86">
                  <c:v>385754.71875</c:v>
                </c:pt>
                <c:pt idx="87">
                  <c:v>379957.3125</c:v>
                </c:pt>
                <c:pt idx="88">
                  <c:v>377484.71875</c:v>
                </c:pt>
                <c:pt idx="89">
                  <c:v>378277.03125</c:v>
                </c:pt>
                <c:pt idx="90">
                  <c:v>337334.6875</c:v>
                </c:pt>
                <c:pt idx="91">
                  <c:v>333374.9375</c:v>
                </c:pt>
                <c:pt idx="92">
                  <c:v>282233.21875</c:v>
                </c:pt>
                <c:pt idx="93">
                  <c:v>249653.640625</c:v>
                </c:pt>
                <c:pt idx="94">
                  <c:v>201337.75</c:v>
                </c:pt>
                <c:pt idx="95">
                  <c:v>186234.4375</c:v>
                </c:pt>
                <c:pt idx="96">
                  <c:v>177129.1875</c:v>
                </c:pt>
                <c:pt idx="97">
                  <c:v>172005.484375</c:v>
                </c:pt>
                <c:pt idx="98">
                  <c:v>159556.90625</c:v>
                </c:pt>
                <c:pt idx="99">
                  <c:v>150333.109375</c:v>
                </c:pt>
                <c:pt idx="100">
                  <c:v>158874.71875</c:v>
                </c:pt>
                <c:pt idx="101">
                  <c:v>147064.421875</c:v>
                </c:pt>
                <c:pt idx="102">
                  <c:v>136876.796875</c:v>
                </c:pt>
                <c:pt idx="103">
                  <c:v>121835.4140625</c:v>
                </c:pt>
                <c:pt idx="104">
                  <c:v>125364.796875</c:v>
                </c:pt>
                <c:pt idx="105">
                  <c:v>121313.328125</c:v>
                </c:pt>
                <c:pt idx="106">
                  <c:v>112690.1484375</c:v>
                </c:pt>
                <c:pt idx="107">
                  <c:v>101052.0546875</c:v>
                </c:pt>
                <c:pt idx="108">
                  <c:v>89501.9296875</c:v>
                </c:pt>
                <c:pt idx="109">
                  <c:v>85716.5390625</c:v>
                </c:pt>
                <c:pt idx="110">
                  <c:v>82223.6015625</c:v>
                </c:pt>
                <c:pt idx="111">
                  <c:v>56738.25390625</c:v>
                </c:pt>
                <c:pt idx="112">
                  <c:v>45594.27734375</c:v>
                </c:pt>
                <c:pt idx="113">
                  <c:v>30610.927734375</c:v>
                </c:pt>
                <c:pt idx="114">
                  <c:v>13468.806640625</c:v>
                </c:pt>
                <c:pt idx="115">
                  <c:v>-1872.66870117187</c:v>
                </c:pt>
                <c:pt idx="116">
                  <c:v>-13892.9609375</c:v>
                </c:pt>
                <c:pt idx="117">
                  <c:v>-21312.591796875</c:v>
                </c:pt>
                <c:pt idx="118">
                  <c:v>-23981.369140625</c:v>
                </c:pt>
                <c:pt idx="119">
                  <c:v>-24912.890625</c:v>
                </c:pt>
                <c:pt idx="120">
                  <c:v>-27289.744140625</c:v>
                </c:pt>
                <c:pt idx="121">
                  <c:v>-42847.30078125</c:v>
                </c:pt>
                <c:pt idx="122">
                  <c:v>-49865.80078125</c:v>
                </c:pt>
                <c:pt idx="123">
                  <c:v>-37417.359375</c:v>
                </c:pt>
                <c:pt idx="124">
                  <c:v>-38449.72265625</c:v>
                </c:pt>
                <c:pt idx="125">
                  <c:v>-35978.84765625</c:v>
                </c:pt>
                <c:pt idx="126">
                  <c:v>-15003.3798828125</c:v>
                </c:pt>
                <c:pt idx="127">
                  <c:v>5788.0654296875</c:v>
                </c:pt>
                <c:pt idx="128">
                  <c:v>9133.259765625</c:v>
                </c:pt>
                <c:pt idx="129">
                  <c:v>28082.0234375</c:v>
                </c:pt>
                <c:pt idx="130">
                  <c:v>37117.2578125</c:v>
                </c:pt>
                <c:pt idx="131">
                  <c:v>71155.3671875</c:v>
                </c:pt>
                <c:pt idx="132">
                  <c:v>100892</c:v>
                </c:pt>
                <c:pt idx="133">
                  <c:v>106742.046875</c:v>
                </c:pt>
                <c:pt idx="134">
                  <c:v>99501.5234375</c:v>
                </c:pt>
                <c:pt idx="135">
                  <c:v>100105.671875</c:v>
                </c:pt>
                <c:pt idx="136">
                  <c:v>111625.890625</c:v>
                </c:pt>
                <c:pt idx="137">
                  <c:v>110935.5859375</c:v>
                </c:pt>
                <c:pt idx="138">
                  <c:v>106756.09375</c:v>
                </c:pt>
                <c:pt idx="139">
                  <c:v>99061.3515625</c:v>
                </c:pt>
                <c:pt idx="140">
                  <c:v>96954.6796875</c:v>
                </c:pt>
                <c:pt idx="141">
                  <c:v>94553.7734375</c:v>
                </c:pt>
                <c:pt idx="142">
                  <c:v>87271.140625</c:v>
                </c:pt>
                <c:pt idx="143">
                  <c:v>80198.6328125</c:v>
                </c:pt>
                <c:pt idx="144">
                  <c:v>73788.3359375</c:v>
                </c:pt>
                <c:pt idx="145">
                  <c:v>67990.2421875</c:v>
                </c:pt>
                <c:pt idx="146">
                  <c:v>63300.5859375</c:v>
                </c:pt>
                <c:pt idx="147">
                  <c:v>61065.81640625</c:v>
                </c:pt>
                <c:pt idx="148">
                  <c:v>62391.35546875</c:v>
                </c:pt>
                <c:pt idx="149">
                  <c:v>60163.58203125</c:v>
                </c:pt>
                <c:pt idx="150">
                  <c:v>62166.18359375</c:v>
                </c:pt>
                <c:pt idx="151">
                  <c:v>56778.23828125</c:v>
                </c:pt>
                <c:pt idx="152">
                  <c:v>58060.7265625</c:v>
                </c:pt>
                <c:pt idx="153">
                  <c:v>54067.296875</c:v>
                </c:pt>
                <c:pt idx="154">
                  <c:v>54901.61328125</c:v>
                </c:pt>
                <c:pt idx="155">
                  <c:v>53921.26171875</c:v>
                </c:pt>
                <c:pt idx="156">
                  <c:v>62423.37890625</c:v>
                </c:pt>
                <c:pt idx="157">
                  <c:v>66679.3203125</c:v>
                </c:pt>
                <c:pt idx="158">
                  <c:v>72279.796875</c:v>
                </c:pt>
                <c:pt idx="159">
                  <c:v>62412.25</c:v>
                </c:pt>
                <c:pt idx="160">
                  <c:v>53773.203125</c:v>
                </c:pt>
                <c:pt idx="161">
                  <c:v>47302.89453125</c:v>
                </c:pt>
                <c:pt idx="162">
                  <c:v>43963.6953125</c:v>
                </c:pt>
                <c:pt idx="163">
                  <c:v>29898.673828125</c:v>
                </c:pt>
                <c:pt idx="164">
                  <c:v>11197.99609375</c:v>
                </c:pt>
                <c:pt idx="165">
                  <c:v>19865.091796875</c:v>
                </c:pt>
                <c:pt idx="166">
                  <c:v>20685.38671875</c:v>
                </c:pt>
                <c:pt idx="167">
                  <c:v>12346.4072265625</c:v>
                </c:pt>
                <c:pt idx="168">
                  <c:v>2314.826171875</c:v>
                </c:pt>
                <c:pt idx="169">
                  <c:v>5509.96630859375</c:v>
                </c:pt>
                <c:pt idx="170">
                  <c:v>11863.5146484375</c:v>
                </c:pt>
                <c:pt idx="171">
                  <c:v>8865.1650390625</c:v>
                </c:pt>
                <c:pt idx="172">
                  <c:v>-1231.77893066406</c:v>
                </c:pt>
                <c:pt idx="173">
                  <c:v>-1256.44848632812</c:v>
                </c:pt>
                <c:pt idx="174">
                  <c:v>104.037132263183</c:v>
                </c:pt>
                <c:pt idx="175">
                  <c:v>3639.29931640625</c:v>
                </c:pt>
                <c:pt idx="176">
                  <c:v>10431.7216796875</c:v>
                </c:pt>
                <c:pt idx="177">
                  <c:v>19054.80078125</c:v>
                </c:pt>
                <c:pt idx="178">
                  <c:v>47038.79296875</c:v>
                </c:pt>
                <c:pt idx="179">
                  <c:v>76005.1328125</c:v>
                </c:pt>
                <c:pt idx="180">
                  <c:v>86330.8203125</c:v>
                </c:pt>
                <c:pt idx="181">
                  <c:v>92931.1640625</c:v>
                </c:pt>
                <c:pt idx="182">
                  <c:v>95114.9453125</c:v>
                </c:pt>
                <c:pt idx="183">
                  <c:v>101500.2265625</c:v>
                </c:pt>
                <c:pt idx="184">
                  <c:v>109186.9296875</c:v>
                </c:pt>
                <c:pt idx="185">
                  <c:v>108916.90625</c:v>
                </c:pt>
                <c:pt idx="186">
                  <c:v>108680.796875</c:v>
                </c:pt>
                <c:pt idx="187">
                  <c:v>100511.890625</c:v>
                </c:pt>
                <c:pt idx="188">
                  <c:v>99429.4921875</c:v>
                </c:pt>
                <c:pt idx="189">
                  <c:v>99223.390625</c:v>
                </c:pt>
                <c:pt idx="190">
                  <c:v>83127.6484375</c:v>
                </c:pt>
                <c:pt idx="191">
                  <c:v>78660.1875</c:v>
                </c:pt>
                <c:pt idx="192">
                  <c:v>70397.125</c:v>
                </c:pt>
                <c:pt idx="193">
                  <c:v>68712.5078125</c:v>
                </c:pt>
                <c:pt idx="194">
                  <c:v>62636.33203125</c:v>
                </c:pt>
                <c:pt idx="195">
                  <c:v>60743.546875</c:v>
                </c:pt>
                <c:pt idx="196">
                  <c:v>64354.96484375</c:v>
                </c:pt>
                <c:pt idx="197">
                  <c:v>62878.4140625</c:v>
                </c:pt>
                <c:pt idx="198">
                  <c:v>63770.7421875</c:v>
                </c:pt>
                <c:pt idx="199">
                  <c:v>59679.28515625</c:v>
                </c:pt>
                <c:pt idx="200">
                  <c:v>58933.7578125</c:v>
                </c:pt>
                <c:pt idx="201">
                  <c:v>56039.99609375</c:v>
                </c:pt>
                <c:pt idx="202">
                  <c:v>58194.79296875</c:v>
                </c:pt>
                <c:pt idx="203">
                  <c:v>55863.92578125</c:v>
                </c:pt>
                <c:pt idx="204">
                  <c:v>61674.0078125</c:v>
                </c:pt>
                <c:pt idx="205">
                  <c:v>63864.78125</c:v>
                </c:pt>
                <c:pt idx="206">
                  <c:v>59527.23046875</c:v>
                </c:pt>
                <c:pt idx="207">
                  <c:v>50462.01953125</c:v>
                </c:pt>
                <c:pt idx="208">
                  <c:v>22838.15234375</c:v>
                </c:pt>
                <c:pt idx="209">
                  <c:v>-958.27233886718705</c:v>
                </c:pt>
                <c:pt idx="210">
                  <c:v>-22325.970703125</c:v>
                </c:pt>
                <c:pt idx="211">
                  <c:v>-44594.07421875</c:v>
                </c:pt>
                <c:pt idx="212">
                  <c:v>-69220.984375</c:v>
                </c:pt>
                <c:pt idx="213">
                  <c:v>-79526.546875</c:v>
                </c:pt>
                <c:pt idx="214">
                  <c:v>-77547.703125</c:v>
                </c:pt>
                <c:pt idx="215">
                  <c:v>-71451.515625</c:v>
                </c:pt>
                <c:pt idx="216">
                  <c:v>-41230.71875</c:v>
                </c:pt>
                <c:pt idx="217">
                  <c:v>-66765.8671875</c:v>
                </c:pt>
                <c:pt idx="218">
                  <c:v>-64330.97265625</c:v>
                </c:pt>
                <c:pt idx="219">
                  <c:v>-65299.328125</c:v>
                </c:pt>
                <c:pt idx="220">
                  <c:v>-34236.234375</c:v>
                </c:pt>
                <c:pt idx="221">
                  <c:v>-10745.8369140625</c:v>
                </c:pt>
                <c:pt idx="222">
                  <c:v>15603.57421875</c:v>
                </c:pt>
                <c:pt idx="223">
                  <c:v>22690.875</c:v>
                </c:pt>
                <c:pt idx="224">
                  <c:v>37743.45703125</c:v>
                </c:pt>
                <c:pt idx="225">
                  <c:v>77909.8125</c:v>
                </c:pt>
                <c:pt idx="226">
                  <c:v>107988.953125</c:v>
                </c:pt>
                <c:pt idx="227">
                  <c:v>149933.421875</c:v>
                </c:pt>
                <c:pt idx="228">
                  <c:v>185480.03125</c:v>
                </c:pt>
                <c:pt idx="229">
                  <c:v>203624.875</c:v>
                </c:pt>
                <c:pt idx="230">
                  <c:v>217539.515625</c:v>
                </c:pt>
                <c:pt idx="231">
                  <c:v>212039.421875</c:v>
                </c:pt>
                <c:pt idx="232">
                  <c:v>208262.40625</c:v>
                </c:pt>
                <c:pt idx="233">
                  <c:v>210691.25</c:v>
                </c:pt>
                <c:pt idx="234">
                  <c:v>204504.96875</c:v>
                </c:pt>
                <c:pt idx="235">
                  <c:v>195947.953125</c:v>
                </c:pt>
                <c:pt idx="236">
                  <c:v>178581.6875</c:v>
                </c:pt>
                <c:pt idx="237">
                  <c:v>184725.171875</c:v>
                </c:pt>
                <c:pt idx="238">
                  <c:v>175708.625</c:v>
                </c:pt>
                <c:pt idx="239">
                  <c:v>147324.40625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D0B-4AFC-BC15-B70EA5910442}"/>
            </c:ext>
          </c:extLst>
        </c:ser>
        <c:ser>
          <c:idx val="8"/>
          <c:order val="8"/>
          <c:tx>
            <c:strRef>
              <c:f>measured_powers!$J$252</c:f>
              <c:strCache>
                <c:ptCount val="1"/>
                <c:pt idx="0">
                  <c:v>p_671_C_W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measured_powers!$A$253:$A$492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measured_powers!$J$253:$J$492</c:f>
              <c:numCache>
                <c:formatCode>General</c:formatCode>
                <c:ptCount val="240"/>
                <c:pt idx="0">
                  <c:v>96115.5546875</c:v>
                </c:pt>
                <c:pt idx="1">
                  <c:v>84146.640625</c:v>
                </c:pt>
                <c:pt idx="2">
                  <c:v>73363.3515625</c:v>
                </c:pt>
                <c:pt idx="3">
                  <c:v>71126.3359375</c:v>
                </c:pt>
                <c:pt idx="4">
                  <c:v>62037.71875</c:v>
                </c:pt>
                <c:pt idx="5">
                  <c:v>63267.40625</c:v>
                </c:pt>
                <c:pt idx="6">
                  <c:v>62997.26171875</c:v>
                </c:pt>
                <c:pt idx="7">
                  <c:v>64893.703125</c:v>
                </c:pt>
                <c:pt idx="8">
                  <c:v>63457.4765625</c:v>
                </c:pt>
                <c:pt idx="9">
                  <c:v>63573.51171875</c:v>
                </c:pt>
                <c:pt idx="10">
                  <c:v>72989.78125</c:v>
                </c:pt>
                <c:pt idx="11">
                  <c:v>76246.625</c:v>
                </c:pt>
                <c:pt idx="12">
                  <c:v>73222.9765625</c:v>
                </c:pt>
                <c:pt idx="13">
                  <c:v>71743.8515625</c:v>
                </c:pt>
                <c:pt idx="14">
                  <c:v>60801.83203125</c:v>
                </c:pt>
                <c:pt idx="15">
                  <c:v>49600.03515625</c:v>
                </c:pt>
                <c:pt idx="16">
                  <c:v>40917.9453125</c:v>
                </c:pt>
                <c:pt idx="17">
                  <c:v>38835.4453125</c:v>
                </c:pt>
                <c:pt idx="18">
                  <c:v>10242.4892578125</c:v>
                </c:pt>
                <c:pt idx="19">
                  <c:v>-9406.287109375</c:v>
                </c:pt>
                <c:pt idx="20">
                  <c:v>-24830.0078125</c:v>
                </c:pt>
                <c:pt idx="21">
                  <c:v>-44886.87109375</c:v>
                </c:pt>
                <c:pt idx="22">
                  <c:v>-59336.88671875</c:v>
                </c:pt>
                <c:pt idx="23">
                  <c:v>-61878.921875</c:v>
                </c:pt>
                <c:pt idx="24">
                  <c:v>-65361.78515625</c:v>
                </c:pt>
                <c:pt idx="25">
                  <c:v>-68834.625</c:v>
                </c:pt>
                <c:pt idx="26">
                  <c:v>-77312.671875</c:v>
                </c:pt>
                <c:pt idx="27">
                  <c:v>-73037.640625</c:v>
                </c:pt>
                <c:pt idx="28">
                  <c:v>-58745.82421875</c:v>
                </c:pt>
                <c:pt idx="29">
                  <c:v>-48503.74609375</c:v>
                </c:pt>
                <c:pt idx="30">
                  <c:v>-26816.52734375</c:v>
                </c:pt>
                <c:pt idx="31">
                  <c:v>577.78564453125</c:v>
                </c:pt>
                <c:pt idx="32">
                  <c:v>20008.833984375</c:v>
                </c:pt>
                <c:pt idx="33">
                  <c:v>47621.57421875</c:v>
                </c:pt>
                <c:pt idx="34">
                  <c:v>76114.6328125</c:v>
                </c:pt>
                <c:pt idx="35">
                  <c:v>110645.1796875</c:v>
                </c:pt>
                <c:pt idx="36">
                  <c:v>142171.015625</c:v>
                </c:pt>
                <c:pt idx="37">
                  <c:v>162680.15625</c:v>
                </c:pt>
                <c:pt idx="38">
                  <c:v>159167.125</c:v>
                </c:pt>
                <c:pt idx="39">
                  <c:v>153981.6875</c:v>
                </c:pt>
                <c:pt idx="40">
                  <c:v>150827.09375</c:v>
                </c:pt>
                <c:pt idx="41">
                  <c:v>159265.984375</c:v>
                </c:pt>
                <c:pt idx="42">
                  <c:v>151615.1875</c:v>
                </c:pt>
                <c:pt idx="43">
                  <c:v>161779.53125</c:v>
                </c:pt>
                <c:pt idx="44">
                  <c:v>152502.734375</c:v>
                </c:pt>
                <c:pt idx="45">
                  <c:v>131052.078125</c:v>
                </c:pt>
                <c:pt idx="46">
                  <c:v>112994.5</c:v>
                </c:pt>
                <c:pt idx="47">
                  <c:v>101302.3125</c:v>
                </c:pt>
                <c:pt idx="48">
                  <c:v>97395.59375</c:v>
                </c:pt>
                <c:pt idx="49">
                  <c:v>85492.9453125</c:v>
                </c:pt>
                <c:pt idx="50">
                  <c:v>73187.90625</c:v>
                </c:pt>
                <c:pt idx="51">
                  <c:v>67637.578125</c:v>
                </c:pt>
                <c:pt idx="52">
                  <c:v>68404.65625</c:v>
                </c:pt>
                <c:pt idx="53">
                  <c:v>65495.88671875</c:v>
                </c:pt>
                <c:pt idx="54">
                  <c:v>67730.375</c:v>
                </c:pt>
                <c:pt idx="55">
                  <c:v>73646.2109375</c:v>
                </c:pt>
                <c:pt idx="56">
                  <c:v>71861.53125</c:v>
                </c:pt>
                <c:pt idx="57">
                  <c:v>71543.453125</c:v>
                </c:pt>
                <c:pt idx="58">
                  <c:v>72659.7578125</c:v>
                </c:pt>
                <c:pt idx="59">
                  <c:v>78967.2265625</c:v>
                </c:pt>
                <c:pt idx="60">
                  <c:v>79030.953125</c:v>
                </c:pt>
                <c:pt idx="61">
                  <c:v>76152.5234375</c:v>
                </c:pt>
                <c:pt idx="62">
                  <c:v>65590.984375</c:v>
                </c:pt>
                <c:pt idx="63">
                  <c:v>50926.390625</c:v>
                </c:pt>
                <c:pt idx="64">
                  <c:v>52104.1015625</c:v>
                </c:pt>
                <c:pt idx="65">
                  <c:v>35022.4921875</c:v>
                </c:pt>
                <c:pt idx="66">
                  <c:v>20178.900390625</c:v>
                </c:pt>
                <c:pt idx="67">
                  <c:v>10458.541015625</c:v>
                </c:pt>
                <c:pt idx="68">
                  <c:v>39501.609375</c:v>
                </c:pt>
                <c:pt idx="69">
                  <c:v>43376.54296875</c:v>
                </c:pt>
                <c:pt idx="70">
                  <c:v>58788.33984375</c:v>
                </c:pt>
                <c:pt idx="71">
                  <c:v>53819.0390625</c:v>
                </c:pt>
                <c:pt idx="72">
                  <c:v>68820.6484375</c:v>
                </c:pt>
                <c:pt idx="73">
                  <c:v>92780.59375</c:v>
                </c:pt>
                <c:pt idx="74">
                  <c:v>99956.3671875</c:v>
                </c:pt>
                <c:pt idx="75">
                  <c:v>112501.2578125</c:v>
                </c:pt>
                <c:pt idx="76">
                  <c:v>144803.578125</c:v>
                </c:pt>
                <c:pt idx="77">
                  <c:v>178280.59375</c:v>
                </c:pt>
                <c:pt idx="78">
                  <c:v>188220.171875</c:v>
                </c:pt>
                <c:pt idx="79">
                  <c:v>188870.21875</c:v>
                </c:pt>
                <c:pt idx="80">
                  <c:v>217860.796875</c:v>
                </c:pt>
                <c:pt idx="81">
                  <c:v>252494.375</c:v>
                </c:pt>
                <c:pt idx="82">
                  <c:v>286304.84375</c:v>
                </c:pt>
                <c:pt idx="83">
                  <c:v>323121.21875</c:v>
                </c:pt>
                <c:pt idx="84">
                  <c:v>356139.5625</c:v>
                </c:pt>
                <c:pt idx="85">
                  <c:v>358220.9375</c:v>
                </c:pt>
                <c:pt idx="86">
                  <c:v>378206.8125</c:v>
                </c:pt>
                <c:pt idx="87">
                  <c:v>397403.03125</c:v>
                </c:pt>
                <c:pt idx="88">
                  <c:v>395453.90625</c:v>
                </c:pt>
                <c:pt idx="89">
                  <c:v>377936.59375</c:v>
                </c:pt>
                <c:pt idx="90">
                  <c:v>359570.21875</c:v>
                </c:pt>
                <c:pt idx="91">
                  <c:v>342801.65625</c:v>
                </c:pt>
                <c:pt idx="92">
                  <c:v>304327.5625</c:v>
                </c:pt>
                <c:pt idx="93">
                  <c:v>275219.09375</c:v>
                </c:pt>
                <c:pt idx="94">
                  <c:v>237890.78125</c:v>
                </c:pt>
                <c:pt idx="95">
                  <c:v>216206.953125</c:v>
                </c:pt>
                <c:pt idx="96">
                  <c:v>184473.453125</c:v>
                </c:pt>
                <c:pt idx="97">
                  <c:v>180202.734375</c:v>
                </c:pt>
                <c:pt idx="98">
                  <c:v>163144.203125</c:v>
                </c:pt>
                <c:pt idx="99">
                  <c:v>148308.703125</c:v>
                </c:pt>
                <c:pt idx="100">
                  <c:v>143878.375</c:v>
                </c:pt>
                <c:pt idx="101">
                  <c:v>147618.234375</c:v>
                </c:pt>
                <c:pt idx="102">
                  <c:v>136037.21875</c:v>
                </c:pt>
                <c:pt idx="103">
                  <c:v>132596.40625</c:v>
                </c:pt>
                <c:pt idx="104">
                  <c:v>121165.640625</c:v>
                </c:pt>
                <c:pt idx="105">
                  <c:v>116696.5546875</c:v>
                </c:pt>
                <c:pt idx="106">
                  <c:v>111991.0546875</c:v>
                </c:pt>
                <c:pt idx="107">
                  <c:v>104819.5</c:v>
                </c:pt>
                <c:pt idx="108">
                  <c:v>96565.46875</c:v>
                </c:pt>
                <c:pt idx="109">
                  <c:v>101459.078125</c:v>
                </c:pt>
                <c:pt idx="110">
                  <c:v>82359.8984375</c:v>
                </c:pt>
                <c:pt idx="111">
                  <c:v>59029.1015625</c:v>
                </c:pt>
                <c:pt idx="112">
                  <c:v>51670.12890625</c:v>
                </c:pt>
                <c:pt idx="113">
                  <c:v>45484.33203125</c:v>
                </c:pt>
                <c:pt idx="114">
                  <c:v>32589.927734375</c:v>
                </c:pt>
                <c:pt idx="115">
                  <c:v>12433.0244140625</c:v>
                </c:pt>
                <c:pt idx="116">
                  <c:v>15911.8701171875</c:v>
                </c:pt>
                <c:pt idx="117">
                  <c:v>646.15716552734295</c:v>
                </c:pt>
                <c:pt idx="118">
                  <c:v>-12101.541015625</c:v>
                </c:pt>
                <c:pt idx="119">
                  <c:v>-13559.2822265625</c:v>
                </c:pt>
                <c:pt idx="120">
                  <c:v>-21029.09375</c:v>
                </c:pt>
                <c:pt idx="121">
                  <c:v>-27748.71875</c:v>
                </c:pt>
                <c:pt idx="122">
                  <c:v>-35568.60546875</c:v>
                </c:pt>
                <c:pt idx="123">
                  <c:v>-13869.3720703125</c:v>
                </c:pt>
                <c:pt idx="124">
                  <c:v>-24113.84765625</c:v>
                </c:pt>
                <c:pt idx="125">
                  <c:v>-22021.353515625</c:v>
                </c:pt>
                <c:pt idx="126">
                  <c:v>-12274.982421875</c:v>
                </c:pt>
                <c:pt idx="127">
                  <c:v>13709.3203125</c:v>
                </c:pt>
                <c:pt idx="128">
                  <c:v>22275.408203125</c:v>
                </c:pt>
                <c:pt idx="129">
                  <c:v>30413.390625</c:v>
                </c:pt>
                <c:pt idx="130">
                  <c:v>51560.5546875</c:v>
                </c:pt>
                <c:pt idx="131">
                  <c:v>80899.7265625</c:v>
                </c:pt>
                <c:pt idx="132">
                  <c:v>111327.28125</c:v>
                </c:pt>
                <c:pt idx="133">
                  <c:v>119737.296875</c:v>
                </c:pt>
                <c:pt idx="134">
                  <c:v>119176.953125</c:v>
                </c:pt>
                <c:pt idx="135">
                  <c:v>113763.5546875</c:v>
                </c:pt>
                <c:pt idx="136">
                  <c:v>113204.5</c:v>
                </c:pt>
                <c:pt idx="137">
                  <c:v>113963.875</c:v>
                </c:pt>
                <c:pt idx="138">
                  <c:v>110993.1484375</c:v>
                </c:pt>
                <c:pt idx="139">
                  <c:v>104007.484375</c:v>
                </c:pt>
                <c:pt idx="140">
                  <c:v>110535.2109375</c:v>
                </c:pt>
                <c:pt idx="141">
                  <c:v>107962.453125</c:v>
                </c:pt>
                <c:pt idx="142">
                  <c:v>96233.546875</c:v>
                </c:pt>
                <c:pt idx="143">
                  <c:v>89998.78125</c:v>
                </c:pt>
                <c:pt idx="144">
                  <c:v>82848.265625</c:v>
                </c:pt>
                <c:pt idx="145">
                  <c:v>77208.6875</c:v>
                </c:pt>
                <c:pt idx="146">
                  <c:v>66718.9765625</c:v>
                </c:pt>
                <c:pt idx="147">
                  <c:v>63693.03125</c:v>
                </c:pt>
                <c:pt idx="148">
                  <c:v>64109.8046875</c:v>
                </c:pt>
                <c:pt idx="149">
                  <c:v>58340.28515625</c:v>
                </c:pt>
                <c:pt idx="150">
                  <c:v>58136.1796875</c:v>
                </c:pt>
                <c:pt idx="151">
                  <c:v>58638.27734375</c:v>
                </c:pt>
                <c:pt idx="152">
                  <c:v>58716.33984375</c:v>
                </c:pt>
                <c:pt idx="153">
                  <c:v>56515.80859375</c:v>
                </c:pt>
                <c:pt idx="154">
                  <c:v>65968.09375</c:v>
                </c:pt>
                <c:pt idx="155">
                  <c:v>70823.4765625</c:v>
                </c:pt>
                <c:pt idx="156">
                  <c:v>74934.1640625</c:v>
                </c:pt>
                <c:pt idx="157">
                  <c:v>75646.7265625</c:v>
                </c:pt>
                <c:pt idx="158">
                  <c:v>73403.9140625</c:v>
                </c:pt>
                <c:pt idx="159">
                  <c:v>64939.80078125</c:v>
                </c:pt>
                <c:pt idx="160">
                  <c:v>55469.5546875</c:v>
                </c:pt>
                <c:pt idx="161">
                  <c:v>55347.52734375</c:v>
                </c:pt>
                <c:pt idx="162">
                  <c:v>58298.2421875</c:v>
                </c:pt>
                <c:pt idx="163">
                  <c:v>48559.796875</c:v>
                </c:pt>
                <c:pt idx="164">
                  <c:v>33356.1015625</c:v>
                </c:pt>
                <c:pt idx="165">
                  <c:v>34914.484375</c:v>
                </c:pt>
                <c:pt idx="166">
                  <c:v>23367.6796875</c:v>
                </c:pt>
                <c:pt idx="167">
                  <c:v>20444.96875</c:v>
                </c:pt>
                <c:pt idx="168">
                  <c:v>3374.81909179687</c:v>
                </c:pt>
                <c:pt idx="169">
                  <c:v>10196.4775390625</c:v>
                </c:pt>
                <c:pt idx="170">
                  <c:v>15099.671875</c:v>
                </c:pt>
                <c:pt idx="171">
                  <c:v>20376.951171875</c:v>
                </c:pt>
                <c:pt idx="172">
                  <c:v>11337.7626953125</c:v>
                </c:pt>
                <c:pt idx="173">
                  <c:v>7137.73046875</c:v>
                </c:pt>
                <c:pt idx="174">
                  <c:v>6257.51904296875</c:v>
                </c:pt>
                <c:pt idx="175">
                  <c:v>16041.7236328125</c:v>
                </c:pt>
                <c:pt idx="176">
                  <c:v>20663.021484375</c:v>
                </c:pt>
                <c:pt idx="177">
                  <c:v>25974.314453125</c:v>
                </c:pt>
                <c:pt idx="178">
                  <c:v>54093.140625</c:v>
                </c:pt>
                <c:pt idx="179">
                  <c:v>78433.28125</c:v>
                </c:pt>
                <c:pt idx="180">
                  <c:v>87471.3984375</c:v>
                </c:pt>
                <c:pt idx="181">
                  <c:v>92608.6796875</c:v>
                </c:pt>
                <c:pt idx="182">
                  <c:v>108766.0625</c:v>
                </c:pt>
                <c:pt idx="183">
                  <c:v>116282.4453125</c:v>
                </c:pt>
                <c:pt idx="184">
                  <c:v>123246.140625</c:v>
                </c:pt>
                <c:pt idx="185">
                  <c:v>122493.921875</c:v>
                </c:pt>
                <c:pt idx="186">
                  <c:v>116556.53125</c:v>
                </c:pt>
                <c:pt idx="187">
                  <c:v>109210.71875</c:v>
                </c:pt>
                <c:pt idx="188">
                  <c:v>111591.3203125</c:v>
                </c:pt>
                <c:pt idx="189">
                  <c:v>107998.4609375</c:v>
                </c:pt>
                <c:pt idx="190">
                  <c:v>99990.484375</c:v>
                </c:pt>
                <c:pt idx="191">
                  <c:v>87971.3125</c:v>
                </c:pt>
                <c:pt idx="192">
                  <c:v>80027.4921875</c:v>
                </c:pt>
                <c:pt idx="193">
                  <c:v>76358.4609375</c:v>
                </c:pt>
                <c:pt idx="194">
                  <c:v>67530.359375</c:v>
                </c:pt>
                <c:pt idx="195">
                  <c:v>62529.44921875</c:v>
                </c:pt>
                <c:pt idx="196">
                  <c:v>55243.4765625</c:v>
                </c:pt>
                <c:pt idx="197">
                  <c:v>54899.3671875</c:v>
                </c:pt>
                <c:pt idx="198">
                  <c:v>60106.65234375</c:v>
                </c:pt>
                <c:pt idx="199">
                  <c:v>57189.953125</c:v>
                </c:pt>
                <c:pt idx="200">
                  <c:v>55082.69140625</c:v>
                </c:pt>
                <c:pt idx="201">
                  <c:v>57339.9296875</c:v>
                </c:pt>
                <c:pt idx="202">
                  <c:v>64873.01953125</c:v>
                </c:pt>
                <c:pt idx="203">
                  <c:v>67238.3046875</c:v>
                </c:pt>
                <c:pt idx="204">
                  <c:v>67684.7109375</c:v>
                </c:pt>
                <c:pt idx="205">
                  <c:v>67362.421875</c:v>
                </c:pt>
                <c:pt idx="206">
                  <c:v>58714.30859375</c:v>
                </c:pt>
                <c:pt idx="207">
                  <c:v>47863.69140625</c:v>
                </c:pt>
                <c:pt idx="208">
                  <c:v>26399.611328125</c:v>
                </c:pt>
                <c:pt idx="209">
                  <c:v>12415.3291015625</c:v>
                </c:pt>
                <c:pt idx="210">
                  <c:v>-3932.9521484375</c:v>
                </c:pt>
                <c:pt idx="211">
                  <c:v>-27342.607421875</c:v>
                </c:pt>
                <c:pt idx="212">
                  <c:v>-50768.25390625</c:v>
                </c:pt>
                <c:pt idx="213">
                  <c:v>-63093.21484375</c:v>
                </c:pt>
                <c:pt idx="214">
                  <c:v>-60518.5859375</c:v>
                </c:pt>
                <c:pt idx="215">
                  <c:v>-62580.7734375</c:v>
                </c:pt>
                <c:pt idx="216">
                  <c:v>-42822.37109375</c:v>
                </c:pt>
                <c:pt idx="217">
                  <c:v>-38803.390625</c:v>
                </c:pt>
                <c:pt idx="218">
                  <c:v>-43476.578125</c:v>
                </c:pt>
                <c:pt idx="219">
                  <c:v>-33674.05859375</c:v>
                </c:pt>
                <c:pt idx="220">
                  <c:v>-1710.41467285156</c:v>
                </c:pt>
                <c:pt idx="221">
                  <c:v>11516.7822265625</c:v>
                </c:pt>
                <c:pt idx="222">
                  <c:v>34974.51171875</c:v>
                </c:pt>
                <c:pt idx="223">
                  <c:v>37118.98828125</c:v>
                </c:pt>
                <c:pt idx="224">
                  <c:v>38785.37890625</c:v>
                </c:pt>
                <c:pt idx="225">
                  <c:v>85618.9609375</c:v>
                </c:pt>
                <c:pt idx="226">
                  <c:v>127534.3984375</c:v>
                </c:pt>
                <c:pt idx="227">
                  <c:v>151857.203125</c:v>
                </c:pt>
                <c:pt idx="228">
                  <c:v>191132.90625</c:v>
                </c:pt>
                <c:pt idx="229">
                  <c:v>222822.359375</c:v>
                </c:pt>
                <c:pt idx="230">
                  <c:v>249315.25</c:v>
                </c:pt>
                <c:pt idx="231">
                  <c:v>252508.15625</c:v>
                </c:pt>
                <c:pt idx="232">
                  <c:v>244212.5</c:v>
                </c:pt>
                <c:pt idx="233">
                  <c:v>249566.171875</c:v>
                </c:pt>
                <c:pt idx="234">
                  <c:v>235596.953125</c:v>
                </c:pt>
                <c:pt idx="235">
                  <c:v>215382.3125</c:v>
                </c:pt>
                <c:pt idx="236">
                  <c:v>197850.53125</c:v>
                </c:pt>
                <c:pt idx="237">
                  <c:v>176423.171875</c:v>
                </c:pt>
                <c:pt idx="238">
                  <c:v>172198.171875</c:v>
                </c:pt>
                <c:pt idx="239">
                  <c:v>151571.03125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D0B-4AFC-BC15-B70EA5910442}"/>
            </c:ext>
          </c:extLst>
        </c:ser>
        <c:ser>
          <c:idx val="9"/>
          <c:order val="9"/>
          <c:tx>
            <c:strRef>
              <c:f>measured_powers!$K$252</c:f>
              <c:strCache>
                <c:ptCount val="1"/>
                <c:pt idx="0">
                  <c:v>p_675_A_W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measured_powers!$A$253:$A$492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measured_powers!$K$253:$K$492</c:f>
              <c:numCache>
                <c:formatCode>General</c:formatCode>
                <c:ptCount val="240"/>
                <c:pt idx="0">
                  <c:v>116083.2109375</c:v>
                </c:pt>
                <c:pt idx="1">
                  <c:v>111731.9609375</c:v>
                </c:pt>
                <c:pt idx="2">
                  <c:v>97275.1875</c:v>
                </c:pt>
                <c:pt idx="3">
                  <c:v>86744.7578125</c:v>
                </c:pt>
                <c:pt idx="4">
                  <c:v>85030.6171875</c:v>
                </c:pt>
                <c:pt idx="5">
                  <c:v>83156.3828125</c:v>
                </c:pt>
                <c:pt idx="6">
                  <c:v>81876.078125</c:v>
                </c:pt>
                <c:pt idx="7">
                  <c:v>79120.8984375</c:v>
                </c:pt>
                <c:pt idx="8">
                  <c:v>78261.890625</c:v>
                </c:pt>
                <c:pt idx="9">
                  <c:v>77605.3046875</c:v>
                </c:pt>
                <c:pt idx="10">
                  <c:v>82450.3203125</c:v>
                </c:pt>
                <c:pt idx="11">
                  <c:v>84628.59375</c:v>
                </c:pt>
                <c:pt idx="12">
                  <c:v>84762.3984375</c:v>
                </c:pt>
                <c:pt idx="13">
                  <c:v>87686.8984375</c:v>
                </c:pt>
                <c:pt idx="14">
                  <c:v>78561.71875</c:v>
                </c:pt>
                <c:pt idx="15">
                  <c:v>56401.09765625</c:v>
                </c:pt>
                <c:pt idx="16">
                  <c:v>43518.57421875</c:v>
                </c:pt>
                <c:pt idx="17">
                  <c:v>27863.5</c:v>
                </c:pt>
                <c:pt idx="18">
                  <c:v>946.18640136718705</c:v>
                </c:pt>
                <c:pt idx="19">
                  <c:v>-20614.08984375</c:v>
                </c:pt>
                <c:pt idx="20">
                  <c:v>-36153.11328125</c:v>
                </c:pt>
                <c:pt idx="21">
                  <c:v>-64066.65625</c:v>
                </c:pt>
                <c:pt idx="22">
                  <c:v>-82162.765625</c:v>
                </c:pt>
                <c:pt idx="23">
                  <c:v>-82324.09375</c:v>
                </c:pt>
                <c:pt idx="24">
                  <c:v>-82152.296875</c:v>
                </c:pt>
                <c:pt idx="25">
                  <c:v>-86045.0625</c:v>
                </c:pt>
                <c:pt idx="26">
                  <c:v>-90421.9140625</c:v>
                </c:pt>
                <c:pt idx="27">
                  <c:v>-93100.4609375</c:v>
                </c:pt>
                <c:pt idx="28">
                  <c:v>-70702.0625</c:v>
                </c:pt>
                <c:pt idx="29">
                  <c:v>-57245.328125</c:v>
                </c:pt>
                <c:pt idx="30">
                  <c:v>-31924.328125</c:v>
                </c:pt>
                <c:pt idx="31">
                  <c:v>-3298.65258789062</c:v>
                </c:pt>
                <c:pt idx="32">
                  <c:v>9767.91796875</c:v>
                </c:pt>
                <c:pt idx="33">
                  <c:v>31994.30859375</c:v>
                </c:pt>
                <c:pt idx="34">
                  <c:v>72186.421875</c:v>
                </c:pt>
                <c:pt idx="35">
                  <c:v>130117.609375</c:v>
                </c:pt>
                <c:pt idx="36">
                  <c:v>160871.84375</c:v>
                </c:pt>
                <c:pt idx="37">
                  <c:v>186958.8125</c:v>
                </c:pt>
                <c:pt idx="38">
                  <c:v>189905.3125</c:v>
                </c:pt>
                <c:pt idx="39">
                  <c:v>193061.65625</c:v>
                </c:pt>
                <c:pt idx="40">
                  <c:v>182477.859375</c:v>
                </c:pt>
                <c:pt idx="41">
                  <c:v>174821.265625</c:v>
                </c:pt>
                <c:pt idx="42">
                  <c:v>171692.5</c:v>
                </c:pt>
                <c:pt idx="43">
                  <c:v>185271.546875</c:v>
                </c:pt>
                <c:pt idx="44">
                  <c:v>164056.234375</c:v>
                </c:pt>
                <c:pt idx="45">
                  <c:v>150661.65625</c:v>
                </c:pt>
                <c:pt idx="46">
                  <c:v>124366.609375</c:v>
                </c:pt>
                <c:pt idx="47">
                  <c:v>110793.9609375</c:v>
                </c:pt>
                <c:pt idx="48">
                  <c:v>110755.671875</c:v>
                </c:pt>
                <c:pt idx="49">
                  <c:v>101386.1328125</c:v>
                </c:pt>
                <c:pt idx="50">
                  <c:v>91698.0625</c:v>
                </c:pt>
                <c:pt idx="51">
                  <c:v>83867.984375</c:v>
                </c:pt>
                <c:pt idx="52">
                  <c:v>90899.734375</c:v>
                </c:pt>
                <c:pt idx="53">
                  <c:v>86124.828125</c:v>
                </c:pt>
                <c:pt idx="54">
                  <c:v>89742.78125</c:v>
                </c:pt>
                <c:pt idx="55">
                  <c:v>87644.828125</c:v>
                </c:pt>
                <c:pt idx="56">
                  <c:v>85240.796875</c:v>
                </c:pt>
                <c:pt idx="57">
                  <c:v>85848.9453125</c:v>
                </c:pt>
                <c:pt idx="58">
                  <c:v>84784.6875</c:v>
                </c:pt>
                <c:pt idx="59">
                  <c:v>87995.15625</c:v>
                </c:pt>
                <c:pt idx="60">
                  <c:v>86998.7734375</c:v>
                </c:pt>
                <c:pt idx="61">
                  <c:v>85510.8203125</c:v>
                </c:pt>
                <c:pt idx="62">
                  <c:v>73526.578125</c:v>
                </c:pt>
                <c:pt idx="63">
                  <c:v>60851.96875</c:v>
                </c:pt>
                <c:pt idx="64">
                  <c:v>53362.5390625</c:v>
                </c:pt>
                <c:pt idx="65">
                  <c:v>35789.02734375</c:v>
                </c:pt>
                <c:pt idx="66">
                  <c:v>10170.0087890625</c:v>
                </c:pt>
                <c:pt idx="67">
                  <c:v>-7663.51220703125</c:v>
                </c:pt>
                <c:pt idx="68">
                  <c:v>16035.171875</c:v>
                </c:pt>
                <c:pt idx="69">
                  <c:v>15547.0546875</c:v>
                </c:pt>
                <c:pt idx="70">
                  <c:v>34432.8046875</c:v>
                </c:pt>
                <c:pt idx="71">
                  <c:v>35386.9765625</c:v>
                </c:pt>
                <c:pt idx="72">
                  <c:v>45804.515625</c:v>
                </c:pt>
                <c:pt idx="73">
                  <c:v>55386.92578125</c:v>
                </c:pt>
                <c:pt idx="74">
                  <c:v>53340.49609375</c:v>
                </c:pt>
                <c:pt idx="75">
                  <c:v>92411.34375</c:v>
                </c:pt>
                <c:pt idx="76">
                  <c:v>153710.328125</c:v>
                </c:pt>
                <c:pt idx="77">
                  <c:v>185736.375</c:v>
                </c:pt>
                <c:pt idx="78">
                  <c:v>191493.46875</c:v>
                </c:pt>
                <c:pt idx="79">
                  <c:v>203668.015625</c:v>
                </c:pt>
                <c:pt idx="80">
                  <c:v>237514.359375</c:v>
                </c:pt>
                <c:pt idx="81">
                  <c:v>298502.375</c:v>
                </c:pt>
                <c:pt idx="82">
                  <c:v>340540.53125</c:v>
                </c:pt>
                <c:pt idx="83">
                  <c:v>394028.59375</c:v>
                </c:pt>
                <c:pt idx="84">
                  <c:v>449136.34375</c:v>
                </c:pt>
                <c:pt idx="85">
                  <c:v>470130.59375</c:v>
                </c:pt>
                <c:pt idx="86">
                  <c:v>474327.875</c:v>
                </c:pt>
                <c:pt idx="87">
                  <c:v>466836.71875</c:v>
                </c:pt>
                <c:pt idx="88">
                  <c:v>470759.3125</c:v>
                </c:pt>
                <c:pt idx="89">
                  <c:v>472418.6875</c:v>
                </c:pt>
                <c:pt idx="90">
                  <c:v>441396.5625</c:v>
                </c:pt>
                <c:pt idx="91">
                  <c:v>442368.09375</c:v>
                </c:pt>
                <c:pt idx="92">
                  <c:v>389946.28125</c:v>
                </c:pt>
                <c:pt idx="93">
                  <c:v>348036.125</c:v>
                </c:pt>
                <c:pt idx="94">
                  <c:v>273013.21875</c:v>
                </c:pt>
                <c:pt idx="95">
                  <c:v>260886.53125</c:v>
                </c:pt>
                <c:pt idx="96">
                  <c:v>242169.5625</c:v>
                </c:pt>
                <c:pt idx="97">
                  <c:v>240440.796875</c:v>
                </c:pt>
                <c:pt idx="98">
                  <c:v>222073.65625</c:v>
                </c:pt>
                <c:pt idx="99">
                  <c:v>205127.1875</c:v>
                </c:pt>
                <c:pt idx="100">
                  <c:v>209093.8125</c:v>
                </c:pt>
                <c:pt idx="101">
                  <c:v>192971.734375</c:v>
                </c:pt>
                <c:pt idx="102">
                  <c:v>181194.046875</c:v>
                </c:pt>
                <c:pt idx="103">
                  <c:v>166963.03125</c:v>
                </c:pt>
                <c:pt idx="104">
                  <c:v>164328.03125</c:v>
                </c:pt>
                <c:pt idx="105">
                  <c:v>162783.71875</c:v>
                </c:pt>
                <c:pt idx="106">
                  <c:v>152897.09375</c:v>
                </c:pt>
                <c:pt idx="107">
                  <c:v>139191.265625</c:v>
                </c:pt>
                <c:pt idx="108">
                  <c:v>128371.125</c:v>
                </c:pt>
                <c:pt idx="109">
                  <c:v>128365.3125</c:v>
                </c:pt>
                <c:pt idx="110">
                  <c:v>112815.03125</c:v>
                </c:pt>
                <c:pt idx="111">
                  <c:v>75679.015625</c:v>
                </c:pt>
                <c:pt idx="112">
                  <c:v>65356.9140625</c:v>
                </c:pt>
                <c:pt idx="113">
                  <c:v>51430.16015625</c:v>
                </c:pt>
                <c:pt idx="114">
                  <c:v>31490.21484375</c:v>
                </c:pt>
                <c:pt idx="115">
                  <c:v>11286.2353515625</c:v>
                </c:pt>
                <c:pt idx="116">
                  <c:v>-2758.54516601562</c:v>
                </c:pt>
                <c:pt idx="117">
                  <c:v>-16021.166015625</c:v>
                </c:pt>
                <c:pt idx="118">
                  <c:v>-23454.55859375</c:v>
                </c:pt>
                <c:pt idx="119">
                  <c:v>-18845.728515625</c:v>
                </c:pt>
                <c:pt idx="120">
                  <c:v>-23342.615234375</c:v>
                </c:pt>
                <c:pt idx="121">
                  <c:v>-40432.03515625</c:v>
                </c:pt>
                <c:pt idx="122">
                  <c:v>-53668.61328125</c:v>
                </c:pt>
                <c:pt idx="123">
                  <c:v>-36637.3828125</c:v>
                </c:pt>
                <c:pt idx="124">
                  <c:v>-41674.24609375</c:v>
                </c:pt>
                <c:pt idx="125">
                  <c:v>-39565.8515625</c:v>
                </c:pt>
                <c:pt idx="126">
                  <c:v>-16157.189453125</c:v>
                </c:pt>
                <c:pt idx="127">
                  <c:v>11304.2158203125</c:v>
                </c:pt>
                <c:pt idx="128">
                  <c:v>16749.3046875</c:v>
                </c:pt>
                <c:pt idx="129">
                  <c:v>36469.19140625</c:v>
                </c:pt>
                <c:pt idx="130">
                  <c:v>47529.38671875</c:v>
                </c:pt>
                <c:pt idx="131">
                  <c:v>87763.296875</c:v>
                </c:pt>
                <c:pt idx="132">
                  <c:v>128152.7578125</c:v>
                </c:pt>
                <c:pt idx="133">
                  <c:v>142883.609375</c:v>
                </c:pt>
                <c:pt idx="134">
                  <c:v>138853.1875</c:v>
                </c:pt>
                <c:pt idx="135">
                  <c:v>130783.796875</c:v>
                </c:pt>
                <c:pt idx="136">
                  <c:v>143556.609375</c:v>
                </c:pt>
                <c:pt idx="137">
                  <c:v>142260</c:v>
                </c:pt>
                <c:pt idx="138">
                  <c:v>139721.515625</c:v>
                </c:pt>
                <c:pt idx="139">
                  <c:v>126278.875</c:v>
                </c:pt>
                <c:pt idx="140">
                  <c:v>130073.234375</c:v>
                </c:pt>
                <c:pt idx="141">
                  <c:v>125172.5859375</c:v>
                </c:pt>
                <c:pt idx="142">
                  <c:v>111445.96875</c:v>
                </c:pt>
                <c:pt idx="143">
                  <c:v>101384.1796875</c:v>
                </c:pt>
                <c:pt idx="144">
                  <c:v>97799.296875</c:v>
                </c:pt>
                <c:pt idx="145">
                  <c:v>93464.0859375</c:v>
                </c:pt>
                <c:pt idx="146">
                  <c:v>81920.265625</c:v>
                </c:pt>
                <c:pt idx="147">
                  <c:v>78875.671875</c:v>
                </c:pt>
                <c:pt idx="148">
                  <c:v>77314.2109375</c:v>
                </c:pt>
                <c:pt idx="149">
                  <c:v>74210.7890625</c:v>
                </c:pt>
                <c:pt idx="150">
                  <c:v>74612.71875</c:v>
                </c:pt>
                <c:pt idx="151">
                  <c:v>69981.84375</c:v>
                </c:pt>
                <c:pt idx="152">
                  <c:v>70625.9140625</c:v>
                </c:pt>
                <c:pt idx="153">
                  <c:v>67691.21875</c:v>
                </c:pt>
                <c:pt idx="154">
                  <c:v>73728.734375</c:v>
                </c:pt>
                <c:pt idx="155">
                  <c:v>74082.84375</c:v>
                </c:pt>
                <c:pt idx="156">
                  <c:v>86541.0234375</c:v>
                </c:pt>
                <c:pt idx="157">
                  <c:v>89442.265625</c:v>
                </c:pt>
                <c:pt idx="158">
                  <c:v>92018.140625</c:v>
                </c:pt>
                <c:pt idx="159">
                  <c:v>80101.828125</c:v>
                </c:pt>
                <c:pt idx="160">
                  <c:v>70955.96875</c:v>
                </c:pt>
                <c:pt idx="161">
                  <c:v>61254.0703125</c:v>
                </c:pt>
                <c:pt idx="162">
                  <c:v>66529.109375</c:v>
                </c:pt>
                <c:pt idx="163">
                  <c:v>53666.578125</c:v>
                </c:pt>
                <c:pt idx="164">
                  <c:v>31572.228515625</c:v>
                </c:pt>
                <c:pt idx="165">
                  <c:v>30864.09375</c:v>
                </c:pt>
                <c:pt idx="166">
                  <c:v>25767.08984375</c:v>
                </c:pt>
                <c:pt idx="167">
                  <c:v>13660.7001953125</c:v>
                </c:pt>
                <c:pt idx="168">
                  <c:v>-6621.30712890625</c:v>
                </c:pt>
                <c:pt idx="169">
                  <c:v>5123.01220703125</c:v>
                </c:pt>
                <c:pt idx="170">
                  <c:v>11516.2763671875</c:v>
                </c:pt>
                <c:pt idx="171">
                  <c:v>14606.873046875</c:v>
                </c:pt>
                <c:pt idx="172">
                  <c:v>-3320.64306640625</c:v>
                </c:pt>
                <c:pt idx="173">
                  <c:v>-3470.68603515625</c:v>
                </c:pt>
                <c:pt idx="174">
                  <c:v>-1865.36193847656</c:v>
                </c:pt>
                <c:pt idx="175">
                  <c:v>3486.69018554687</c:v>
                </c:pt>
                <c:pt idx="176">
                  <c:v>12288.4267578125</c:v>
                </c:pt>
                <c:pt idx="177">
                  <c:v>21848.31640625</c:v>
                </c:pt>
                <c:pt idx="178">
                  <c:v>53476.59375</c:v>
                </c:pt>
                <c:pt idx="179">
                  <c:v>92444.4140625</c:v>
                </c:pt>
                <c:pt idx="180">
                  <c:v>101197.9375</c:v>
                </c:pt>
                <c:pt idx="181">
                  <c:v>107549.2109375</c:v>
                </c:pt>
                <c:pt idx="182">
                  <c:v>121725.4765625</c:v>
                </c:pt>
                <c:pt idx="183">
                  <c:v>134880.59375</c:v>
                </c:pt>
                <c:pt idx="184">
                  <c:v>147551.03125</c:v>
                </c:pt>
                <c:pt idx="185">
                  <c:v>146432.9375</c:v>
                </c:pt>
                <c:pt idx="186">
                  <c:v>138737.140625</c:v>
                </c:pt>
                <c:pt idx="187">
                  <c:v>131849.9375</c:v>
                </c:pt>
                <c:pt idx="188">
                  <c:v>128727.3359375</c:v>
                </c:pt>
                <c:pt idx="189">
                  <c:v>132094.03125</c:v>
                </c:pt>
                <c:pt idx="190">
                  <c:v>108787.4140625</c:v>
                </c:pt>
                <c:pt idx="191">
                  <c:v>99153.0546875</c:v>
                </c:pt>
                <c:pt idx="192">
                  <c:v>93824.2578125</c:v>
                </c:pt>
                <c:pt idx="193">
                  <c:v>90526.8984375</c:v>
                </c:pt>
                <c:pt idx="194">
                  <c:v>82114.109375</c:v>
                </c:pt>
                <c:pt idx="195">
                  <c:v>76380.5078125</c:v>
                </c:pt>
                <c:pt idx="196">
                  <c:v>74238.6328125</c:v>
                </c:pt>
                <c:pt idx="197">
                  <c:v>72604.3671875</c:v>
                </c:pt>
                <c:pt idx="198">
                  <c:v>75314.8828125</c:v>
                </c:pt>
                <c:pt idx="199">
                  <c:v>70855.84375</c:v>
                </c:pt>
                <c:pt idx="200">
                  <c:v>68357.15625</c:v>
                </c:pt>
                <c:pt idx="201">
                  <c:v>67781.328125</c:v>
                </c:pt>
                <c:pt idx="202">
                  <c:v>74754.875</c:v>
                </c:pt>
                <c:pt idx="203">
                  <c:v>76569.0546875</c:v>
                </c:pt>
                <c:pt idx="204">
                  <c:v>84757.7734375</c:v>
                </c:pt>
                <c:pt idx="205">
                  <c:v>84466.6640625</c:v>
                </c:pt>
                <c:pt idx="206">
                  <c:v>74778.7578125</c:v>
                </c:pt>
                <c:pt idx="207">
                  <c:v>60954.00390625</c:v>
                </c:pt>
                <c:pt idx="208">
                  <c:v>30431.68359375</c:v>
                </c:pt>
                <c:pt idx="209">
                  <c:v>8491.666015625</c:v>
                </c:pt>
                <c:pt idx="210">
                  <c:v>-16829.32421875</c:v>
                </c:pt>
                <c:pt idx="211">
                  <c:v>-48681.62890625</c:v>
                </c:pt>
                <c:pt idx="212">
                  <c:v>-80131.8671875</c:v>
                </c:pt>
                <c:pt idx="213">
                  <c:v>-94876.7890625</c:v>
                </c:pt>
                <c:pt idx="214">
                  <c:v>-85574.8984375</c:v>
                </c:pt>
                <c:pt idx="215">
                  <c:v>-79119.578125</c:v>
                </c:pt>
                <c:pt idx="216">
                  <c:v>-49367.7890625</c:v>
                </c:pt>
                <c:pt idx="217">
                  <c:v>-69329.6953125</c:v>
                </c:pt>
                <c:pt idx="218">
                  <c:v>-69261.75</c:v>
                </c:pt>
                <c:pt idx="219">
                  <c:v>-67404.40625</c:v>
                </c:pt>
                <c:pt idx="220">
                  <c:v>-29883.939453125</c:v>
                </c:pt>
                <c:pt idx="221">
                  <c:v>-10938.146484375</c:v>
                </c:pt>
                <c:pt idx="222">
                  <c:v>23918.73828125</c:v>
                </c:pt>
                <c:pt idx="223">
                  <c:v>30197.912109375</c:v>
                </c:pt>
                <c:pt idx="224">
                  <c:v>40918.13671875</c:v>
                </c:pt>
                <c:pt idx="225">
                  <c:v>96091</c:v>
                </c:pt>
                <c:pt idx="226">
                  <c:v>134340.328125</c:v>
                </c:pt>
                <c:pt idx="227">
                  <c:v>174928.1875</c:v>
                </c:pt>
                <c:pt idx="228">
                  <c:v>218785.3125</c:v>
                </c:pt>
                <c:pt idx="229">
                  <c:v>255213.5</c:v>
                </c:pt>
                <c:pt idx="230">
                  <c:v>277285.8125</c:v>
                </c:pt>
                <c:pt idx="231">
                  <c:v>283673.125</c:v>
                </c:pt>
                <c:pt idx="232">
                  <c:v>281040.9375</c:v>
                </c:pt>
                <c:pt idx="233">
                  <c:v>285845.78125</c:v>
                </c:pt>
                <c:pt idx="234">
                  <c:v>269015.71875</c:v>
                </c:pt>
                <c:pt idx="235">
                  <c:v>252130.796875</c:v>
                </c:pt>
                <c:pt idx="236">
                  <c:v>234721.515625</c:v>
                </c:pt>
                <c:pt idx="237">
                  <c:v>238613.296875</c:v>
                </c:pt>
                <c:pt idx="238">
                  <c:v>226928.6875</c:v>
                </c:pt>
                <c:pt idx="239">
                  <c:v>198536.125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D0B-4AFC-BC15-B70EA5910442}"/>
            </c:ext>
          </c:extLst>
        </c:ser>
        <c:ser>
          <c:idx val="10"/>
          <c:order val="10"/>
          <c:tx>
            <c:strRef>
              <c:f>measured_powers!$L$252</c:f>
              <c:strCache>
                <c:ptCount val="1"/>
                <c:pt idx="0">
                  <c:v>p_675_B_W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measured_powers!$A$253:$A$492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measured_powers!$L$253:$L$492</c:f>
              <c:numCache>
                <c:formatCode>General</c:formatCode>
                <c:ptCount val="240"/>
                <c:pt idx="0">
                  <c:v>21324.66015625</c:v>
                </c:pt>
                <c:pt idx="1">
                  <c:v>20334.34765625</c:v>
                </c:pt>
                <c:pt idx="2">
                  <c:v>15290.7724609375</c:v>
                </c:pt>
                <c:pt idx="3">
                  <c:v>17072.654296875</c:v>
                </c:pt>
                <c:pt idx="4">
                  <c:v>12379.8642578125</c:v>
                </c:pt>
                <c:pt idx="5">
                  <c:v>13101.201171875</c:v>
                </c:pt>
                <c:pt idx="6">
                  <c:v>12237.830078125</c:v>
                </c:pt>
                <c:pt idx="7">
                  <c:v>13008.0703125</c:v>
                </c:pt>
                <c:pt idx="8">
                  <c:v>12904.0302734375</c:v>
                </c:pt>
                <c:pt idx="9">
                  <c:v>14408.501953125</c:v>
                </c:pt>
                <c:pt idx="10">
                  <c:v>15486.8408203125</c:v>
                </c:pt>
                <c:pt idx="11">
                  <c:v>15948.98046875</c:v>
                </c:pt>
                <c:pt idx="12">
                  <c:v>15652.42578125</c:v>
                </c:pt>
                <c:pt idx="13">
                  <c:v>15143.0693359375</c:v>
                </c:pt>
                <c:pt idx="14">
                  <c:v>14466.53515625</c:v>
                </c:pt>
                <c:pt idx="15">
                  <c:v>9684.8896484375</c:v>
                </c:pt>
                <c:pt idx="16">
                  <c:v>8368.7685546875</c:v>
                </c:pt>
                <c:pt idx="17">
                  <c:v>9975.1220703125</c:v>
                </c:pt>
                <c:pt idx="18">
                  <c:v>2177.98754882812</c:v>
                </c:pt>
                <c:pt idx="19">
                  <c:v>-4591.4375</c:v>
                </c:pt>
                <c:pt idx="20">
                  <c:v>-5907.84912109375</c:v>
                </c:pt>
                <c:pt idx="21">
                  <c:v>-7628.3876953125</c:v>
                </c:pt>
                <c:pt idx="22">
                  <c:v>-11972.9580078125</c:v>
                </c:pt>
                <c:pt idx="23">
                  <c:v>-12037.7685546875</c:v>
                </c:pt>
                <c:pt idx="24">
                  <c:v>-11353.5654296875</c:v>
                </c:pt>
                <c:pt idx="25">
                  <c:v>-12812.0234375</c:v>
                </c:pt>
                <c:pt idx="26">
                  <c:v>-13946.373046875</c:v>
                </c:pt>
                <c:pt idx="27">
                  <c:v>-16407.142578125</c:v>
                </c:pt>
                <c:pt idx="28">
                  <c:v>-19047.978515625</c:v>
                </c:pt>
                <c:pt idx="29">
                  <c:v>-20607.875</c:v>
                </c:pt>
                <c:pt idx="30">
                  <c:v>-13498.2255859375</c:v>
                </c:pt>
                <c:pt idx="31">
                  <c:v>-6490.029296875</c:v>
                </c:pt>
                <c:pt idx="32">
                  <c:v>-552.17303466796795</c:v>
                </c:pt>
                <c:pt idx="33">
                  <c:v>7356.3037109375</c:v>
                </c:pt>
                <c:pt idx="34">
                  <c:v>15836.9794921875</c:v>
                </c:pt>
                <c:pt idx="35">
                  <c:v>26384.23828125</c:v>
                </c:pt>
                <c:pt idx="36">
                  <c:v>34580.78125</c:v>
                </c:pt>
                <c:pt idx="37">
                  <c:v>29553.193359375</c:v>
                </c:pt>
                <c:pt idx="38">
                  <c:v>29281.115234375</c:v>
                </c:pt>
                <c:pt idx="39">
                  <c:v>29653.841796875</c:v>
                </c:pt>
                <c:pt idx="40">
                  <c:v>27118.421875</c:v>
                </c:pt>
                <c:pt idx="41">
                  <c:v>35043.125</c:v>
                </c:pt>
                <c:pt idx="42">
                  <c:v>32788.3203125</c:v>
                </c:pt>
                <c:pt idx="43">
                  <c:v>28686.919921875</c:v>
                </c:pt>
                <c:pt idx="44">
                  <c:v>33062.3203125</c:v>
                </c:pt>
                <c:pt idx="45">
                  <c:v>28098.78125</c:v>
                </c:pt>
                <c:pt idx="46">
                  <c:v>32182.05078125</c:v>
                </c:pt>
                <c:pt idx="47">
                  <c:v>26660.33203125</c:v>
                </c:pt>
                <c:pt idx="48">
                  <c:v>24056.216796875</c:v>
                </c:pt>
                <c:pt idx="49">
                  <c:v>19189.9921875</c:v>
                </c:pt>
                <c:pt idx="50">
                  <c:v>15446.826171875</c:v>
                </c:pt>
                <c:pt idx="51">
                  <c:v>13624.9599609375</c:v>
                </c:pt>
                <c:pt idx="52">
                  <c:v>13696.2734375</c:v>
                </c:pt>
                <c:pt idx="53">
                  <c:v>13458.2041015625</c:v>
                </c:pt>
                <c:pt idx="54">
                  <c:v>13512.23046875</c:v>
                </c:pt>
                <c:pt idx="55">
                  <c:v>13816.314453125</c:v>
                </c:pt>
                <c:pt idx="56">
                  <c:v>14492.53125</c:v>
                </c:pt>
                <c:pt idx="57">
                  <c:v>13544.232421875</c:v>
                </c:pt>
                <c:pt idx="58">
                  <c:v>14924.6630859375</c:v>
                </c:pt>
                <c:pt idx="59">
                  <c:v>16045.0107421875</c:v>
                </c:pt>
                <c:pt idx="60">
                  <c:v>15666.41015625</c:v>
                </c:pt>
                <c:pt idx="61">
                  <c:v>17331.4140625</c:v>
                </c:pt>
                <c:pt idx="62">
                  <c:v>14509.33203125</c:v>
                </c:pt>
                <c:pt idx="63">
                  <c:v>11427.9375</c:v>
                </c:pt>
                <c:pt idx="64">
                  <c:v>11609.62890625</c:v>
                </c:pt>
                <c:pt idx="65">
                  <c:v>9486.9677734375</c:v>
                </c:pt>
                <c:pt idx="66">
                  <c:v>2276.71240234375</c:v>
                </c:pt>
                <c:pt idx="67">
                  <c:v>1537.99108886718</c:v>
                </c:pt>
                <c:pt idx="68">
                  <c:v>9797.06640625</c:v>
                </c:pt>
                <c:pt idx="69">
                  <c:v>7950.48681640625</c:v>
                </c:pt>
                <c:pt idx="70">
                  <c:v>9865.0849609375</c:v>
                </c:pt>
                <c:pt idx="71">
                  <c:v>1811.72875976562</c:v>
                </c:pt>
                <c:pt idx="72">
                  <c:v>7426.32421875</c:v>
                </c:pt>
                <c:pt idx="73">
                  <c:v>9338.9267578125</c:v>
                </c:pt>
                <c:pt idx="74">
                  <c:v>17249.578125</c:v>
                </c:pt>
                <c:pt idx="75">
                  <c:v>18147.685546875</c:v>
                </c:pt>
                <c:pt idx="76">
                  <c:v>18885.896484375</c:v>
                </c:pt>
                <c:pt idx="77">
                  <c:v>23715.404296875</c:v>
                </c:pt>
                <c:pt idx="78">
                  <c:v>30961.630859375</c:v>
                </c:pt>
                <c:pt idx="79">
                  <c:v>38845.4375</c:v>
                </c:pt>
                <c:pt idx="80">
                  <c:v>45687.171875</c:v>
                </c:pt>
                <c:pt idx="81">
                  <c:v>51262.00390625</c:v>
                </c:pt>
                <c:pt idx="82">
                  <c:v>58471.11328125</c:v>
                </c:pt>
                <c:pt idx="83">
                  <c:v>63639.6796875</c:v>
                </c:pt>
                <c:pt idx="84">
                  <c:v>63761.63671875</c:v>
                </c:pt>
                <c:pt idx="85">
                  <c:v>64013.625</c:v>
                </c:pt>
                <c:pt idx="86">
                  <c:v>77800.3828125</c:v>
                </c:pt>
                <c:pt idx="87">
                  <c:v>87447.0390625</c:v>
                </c:pt>
                <c:pt idx="88">
                  <c:v>88693.4921875</c:v>
                </c:pt>
                <c:pt idx="89">
                  <c:v>89017.5625</c:v>
                </c:pt>
                <c:pt idx="90">
                  <c:v>87310.234375</c:v>
                </c:pt>
                <c:pt idx="91">
                  <c:v>75181.359375</c:v>
                </c:pt>
                <c:pt idx="92">
                  <c:v>59155.61328125</c:v>
                </c:pt>
                <c:pt idx="93">
                  <c:v>52681.94140625</c:v>
                </c:pt>
                <c:pt idx="94">
                  <c:v>46716.5703125</c:v>
                </c:pt>
                <c:pt idx="95">
                  <c:v>36695.4453125</c:v>
                </c:pt>
                <c:pt idx="96">
                  <c:v>27778.66015625</c:v>
                </c:pt>
                <c:pt idx="97">
                  <c:v>25197.8203125</c:v>
                </c:pt>
                <c:pt idx="98">
                  <c:v>25744.021484375</c:v>
                </c:pt>
                <c:pt idx="99">
                  <c:v>24773.720703125</c:v>
                </c:pt>
                <c:pt idx="100">
                  <c:v>22521.03125</c:v>
                </c:pt>
                <c:pt idx="101">
                  <c:v>24535.62890625</c:v>
                </c:pt>
                <c:pt idx="102">
                  <c:v>22757.10546875</c:v>
                </c:pt>
                <c:pt idx="103">
                  <c:v>18395.748046875</c:v>
                </c:pt>
                <c:pt idx="104">
                  <c:v>20604.435546875</c:v>
                </c:pt>
                <c:pt idx="105">
                  <c:v>20328.34765625</c:v>
                </c:pt>
                <c:pt idx="106">
                  <c:v>20270.322265625</c:v>
                </c:pt>
                <c:pt idx="107">
                  <c:v>19340.046875</c:v>
                </c:pt>
                <c:pt idx="108">
                  <c:v>16217.06640625</c:v>
                </c:pt>
                <c:pt idx="109">
                  <c:v>14517.3076171875</c:v>
                </c:pt>
                <c:pt idx="110">
                  <c:v>13431.9306640625</c:v>
                </c:pt>
                <c:pt idx="111">
                  <c:v>10929.0029296875</c:v>
                </c:pt>
                <c:pt idx="112">
                  <c:v>11475.935546875</c:v>
                </c:pt>
                <c:pt idx="113">
                  <c:v>9016.8193359375</c:v>
                </c:pt>
                <c:pt idx="114">
                  <c:v>7940.484375</c:v>
                </c:pt>
                <c:pt idx="115">
                  <c:v>1432.44848632812</c:v>
                </c:pt>
                <c:pt idx="116">
                  <c:v>1218.38122558593</c:v>
                </c:pt>
                <c:pt idx="117">
                  <c:v>-3034.94970703125</c:v>
                </c:pt>
                <c:pt idx="118">
                  <c:v>-4377.36962890625</c:v>
                </c:pt>
                <c:pt idx="119">
                  <c:v>-9476.9716796875</c:v>
                </c:pt>
                <c:pt idx="120">
                  <c:v>-9214.888671875</c:v>
                </c:pt>
                <c:pt idx="121">
                  <c:v>-5975.875</c:v>
                </c:pt>
                <c:pt idx="122">
                  <c:v>-5473.71533203125</c:v>
                </c:pt>
                <c:pt idx="123">
                  <c:v>900.082763671875</c:v>
                </c:pt>
                <c:pt idx="124">
                  <c:v>-5343.67333984375</c:v>
                </c:pt>
                <c:pt idx="125">
                  <c:v>-2170.67919921875</c:v>
                </c:pt>
                <c:pt idx="126">
                  <c:v>-3921.2255859375</c:v>
                </c:pt>
                <c:pt idx="127">
                  <c:v>390.122314453125</c:v>
                </c:pt>
                <c:pt idx="128">
                  <c:v>4107.287109375</c:v>
                </c:pt>
                <c:pt idx="129">
                  <c:v>5285.6552734375</c:v>
                </c:pt>
                <c:pt idx="130">
                  <c:v>12325.931640625</c:v>
                </c:pt>
                <c:pt idx="131">
                  <c:v>22427.0078125</c:v>
                </c:pt>
                <c:pt idx="132">
                  <c:v>30297.42578125</c:v>
                </c:pt>
                <c:pt idx="133">
                  <c:v>28252.787109375</c:v>
                </c:pt>
                <c:pt idx="134">
                  <c:v>27122.486328125</c:v>
                </c:pt>
                <c:pt idx="135">
                  <c:v>26588.291015625</c:v>
                </c:pt>
                <c:pt idx="136">
                  <c:v>23973.873046875</c:v>
                </c:pt>
                <c:pt idx="137">
                  <c:v>23647.392578125</c:v>
                </c:pt>
                <c:pt idx="138">
                  <c:v>21934.85546875</c:v>
                </c:pt>
                <c:pt idx="139">
                  <c:v>23251.259765625</c:v>
                </c:pt>
                <c:pt idx="140">
                  <c:v>23891.44140625</c:v>
                </c:pt>
                <c:pt idx="141">
                  <c:v>22763.109375</c:v>
                </c:pt>
                <c:pt idx="142">
                  <c:v>25021.8125</c:v>
                </c:pt>
                <c:pt idx="143">
                  <c:v>23769.421875</c:v>
                </c:pt>
                <c:pt idx="144">
                  <c:v>18929.908203125</c:v>
                </c:pt>
                <c:pt idx="145">
                  <c:v>16959.55078125</c:v>
                </c:pt>
                <c:pt idx="146">
                  <c:v>15423.4140625</c:v>
                </c:pt>
                <c:pt idx="147">
                  <c:v>14219.9208984375</c:v>
                </c:pt>
                <c:pt idx="148">
                  <c:v>14970.6611328125</c:v>
                </c:pt>
                <c:pt idx="149">
                  <c:v>13030.078125</c:v>
                </c:pt>
                <c:pt idx="150">
                  <c:v>12950.046875</c:v>
                </c:pt>
                <c:pt idx="151">
                  <c:v>12241.8251953125</c:v>
                </c:pt>
                <c:pt idx="152">
                  <c:v>13396.185546875</c:v>
                </c:pt>
                <c:pt idx="153">
                  <c:v>12954.0380859375</c:v>
                </c:pt>
                <c:pt idx="154">
                  <c:v>14530.556640625</c:v>
                </c:pt>
                <c:pt idx="155">
                  <c:v>14840.654296875</c:v>
                </c:pt>
                <c:pt idx="156">
                  <c:v>15284.78515625</c:v>
                </c:pt>
                <c:pt idx="157">
                  <c:v>16067.017578125</c:v>
                </c:pt>
                <c:pt idx="158">
                  <c:v>16255.080078125</c:v>
                </c:pt>
                <c:pt idx="159">
                  <c:v>17379.4296875</c:v>
                </c:pt>
                <c:pt idx="160">
                  <c:v>13874.333984375</c:v>
                </c:pt>
                <c:pt idx="161">
                  <c:v>14966.6748046875</c:v>
                </c:pt>
                <c:pt idx="162">
                  <c:v>13642.2607421875</c:v>
                </c:pt>
                <c:pt idx="163">
                  <c:v>10365.2470703125</c:v>
                </c:pt>
                <c:pt idx="164">
                  <c:v>4495.40869140625</c:v>
                </c:pt>
                <c:pt idx="165">
                  <c:v>5899.84765625</c:v>
                </c:pt>
                <c:pt idx="166">
                  <c:v>4845.97265625</c:v>
                </c:pt>
                <c:pt idx="167">
                  <c:v>9614.8828125</c:v>
                </c:pt>
                <c:pt idx="168">
                  <c:v>7146.236328125</c:v>
                </c:pt>
                <c:pt idx="169">
                  <c:v>9498.9716796875</c:v>
                </c:pt>
                <c:pt idx="170">
                  <c:v>9472.962890625</c:v>
                </c:pt>
                <c:pt idx="171">
                  <c:v>9917.1005859375</c:v>
                </c:pt>
                <c:pt idx="172">
                  <c:v>6094.36328125</c:v>
                </c:pt>
                <c:pt idx="173">
                  <c:v>5109.6015625</c:v>
                </c:pt>
                <c:pt idx="174">
                  <c:v>5211.63232421875</c:v>
                </c:pt>
                <c:pt idx="175">
                  <c:v>7414.322265625</c:v>
                </c:pt>
                <c:pt idx="176">
                  <c:v>3717.9794921875</c:v>
                </c:pt>
                <c:pt idx="177">
                  <c:v>9320.9150390625</c:v>
                </c:pt>
                <c:pt idx="178">
                  <c:v>16111.04296875</c:v>
                </c:pt>
                <c:pt idx="179">
                  <c:v>18517.78125</c:v>
                </c:pt>
                <c:pt idx="180">
                  <c:v>20890.521484375</c:v>
                </c:pt>
                <c:pt idx="181">
                  <c:v>22242.939453125</c:v>
                </c:pt>
                <c:pt idx="182">
                  <c:v>27037.67578125</c:v>
                </c:pt>
                <c:pt idx="183">
                  <c:v>26308.224609375</c:v>
                </c:pt>
                <c:pt idx="184">
                  <c:v>25045.826171875</c:v>
                </c:pt>
                <c:pt idx="185">
                  <c:v>22691.091796875</c:v>
                </c:pt>
                <c:pt idx="186">
                  <c:v>25351.91796875</c:v>
                </c:pt>
                <c:pt idx="187">
                  <c:v>24821.78515625</c:v>
                </c:pt>
                <c:pt idx="188">
                  <c:v>27420.5625</c:v>
                </c:pt>
                <c:pt idx="189">
                  <c:v>24549.658203125</c:v>
                </c:pt>
                <c:pt idx="190">
                  <c:v>27982.720703125</c:v>
                </c:pt>
                <c:pt idx="191">
                  <c:v>24603.828125</c:v>
                </c:pt>
                <c:pt idx="192">
                  <c:v>18305.890625</c:v>
                </c:pt>
                <c:pt idx="193">
                  <c:v>16219.0791015625</c:v>
                </c:pt>
                <c:pt idx="194">
                  <c:v>14762.62109375</c:v>
                </c:pt>
                <c:pt idx="195">
                  <c:v>13348.16796875</c:v>
                </c:pt>
                <c:pt idx="196">
                  <c:v>12795.9990234375</c:v>
                </c:pt>
                <c:pt idx="197">
                  <c:v>12577.9306640625</c:v>
                </c:pt>
                <c:pt idx="198">
                  <c:v>12739.98046875</c:v>
                </c:pt>
                <c:pt idx="199">
                  <c:v>11899.7099609375</c:v>
                </c:pt>
                <c:pt idx="200">
                  <c:v>13591.0166015625</c:v>
                </c:pt>
                <c:pt idx="201">
                  <c:v>15223.3974609375</c:v>
                </c:pt>
                <c:pt idx="202">
                  <c:v>14667.9189453125</c:v>
                </c:pt>
                <c:pt idx="203">
                  <c:v>14862.650390625</c:v>
                </c:pt>
                <c:pt idx="204">
                  <c:v>13754.28515625</c:v>
                </c:pt>
                <c:pt idx="205">
                  <c:v>15244.763671875</c:v>
                </c:pt>
                <c:pt idx="206">
                  <c:v>13404.1884765625</c:v>
                </c:pt>
                <c:pt idx="207">
                  <c:v>12435.8837890625</c:v>
                </c:pt>
                <c:pt idx="208">
                  <c:v>8456.6376953125</c:v>
                </c:pt>
                <c:pt idx="209">
                  <c:v>2144.67041015625</c:v>
                </c:pt>
                <c:pt idx="210">
                  <c:v>-3499.09741210937</c:v>
                </c:pt>
                <c:pt idx="211">
                  <c:v>-9681.033203125</c:v>
                </c:pt>
                <c:pt idx="212">
                  <c:v>-10917.4296875</c:v>
                </c:pt>
                <c:pt idx="213">
                  <c:v>-14854.6474609375</c:v>
                </c:pt>
                <c:pt idx="214">
                  <c:v>-19272.044921875</c:v>
                </c:pt>
                <c:pt idx="215">
                  <c:v>-20524.44140625</c:v>
                </c:pt>
                <c:pt idx="216">
                  <c:v>-14640.5849609375</c:v>
                </c:pt>
                <c:pt idx="217">
                  <c:v>-6582.06103515625</c:v>
                </c:pt>
                <c:pt idx="218">
                  <c:v>-6662.0830078125</c:v>
                </c:pt>
                <c:pt idx="219">
                  <c:v>-2058.64770507812</c:v>
                </c:pt>
                <c:pt idx="220">
                  <c:v>-1872.58740234375</c:v>
                </c:pt>
                <c:pt idx="221">
                  <c:v>8808.7587890625</c:v>
                </c:pt>
                <c:pt idx="222">
                  <c:v>10417.9423828125</c:v>
                </c:pt>
                <c:pt idx="223">
                  <c:v>8398.626953125</c:v>
                </c:pt>
                <c:pt idx="224">
                  <c:v>10541.2958984375</c:v>
                </c:pt>
                <c:pt idx="225">
                  <c:v>14816.6279296875</c:v>
                </c:pt>
                <c:pt idx="226">
                  <c:v>27634.556640625</c:v>
                </c:pt>
                <c:pt idx="227">
                  <c:v>32011.98046875</c:v>
                </c:pt>
                <c:pt idx="228">
                  <c:v>38721.8359375</c:v>
                </c:pt>
                <c:pt idx="229">
                  <c:v>51029.74609375</c:v>
                </c:pt>
                <c:pt idx="230">
                  <c:v>55019.078125</c:v>
                </c:pt>
                <c:pt idx="231">
                  <c:v>52236.09765625</c:v>
                </c:pt>
                <c:pt idx="232">
                  <c:v>49939.61328125</c:v>
                </c:pt>
                <c:pt idx="233">
                  <c:v>58588.36328125</c:v>
                </c:pt>
                <c:pt idx="234">
                  <c:v>53292.67578125</c:v>
                </c:pt>
                <c:pt idx="235">
                  <c:v>51786.11328125</c:v>
                </c:pt>
                <c:pt idx="236">
                  <c:v>46372.4375</c:v>
                </c:pt>
                <c:pt idx="237">
                  <c:v>37313.64453125</c:v>
                </c:pt>
                <c:pt idx="238">
                  <c:v>33694.515625</c:v>
                </c:pt>
                <c:pt idx="239">
                  <c:v>28726.927734375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D0B-4AFC-BC15-B70EA5910442}"/>
            </c:ext>
          </c:extLst>
        </c:ser>
        <c:ser>
          <c:idx val="11"/>
          <c:order val="11"/>
          <c:tx>
            <c:strRef>
              <c:f>measured_powers!$M$252</c:f>
              <c:strCache>
                <c:ptCount val="1"/>
                <c:pt idx="0">
                  <c:v>p_675_C_W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measured_powers!$A$253:$A$492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measured_powers!$M$253:$M$492</c:f>
              <c:numCache>
                <c:formatCode>General</c:formatCode>
                <c:ptCount val="240"/>
                <c:pt idx="0">
                  <c:v>62722.22265625</c:v>
                </c:pt>
                <c:pt idx="1">
                  <c:v>64759.3515625</c:v>
                </c:pt>
                <c:pt idx="2">
                  <c:v>54305.5390625</c:v>
                </c:pt>
                <c:pt idx="3">
                  <c:v>49290.09765625</c:v>
                </c:pt>
                <c:pt idx="4">
                  <c:v>51010.4453125</c:v>
                </c:pt>
                <c:pt idx="5">
                  <c:v>50652.33203125</c:v>
                </c:pt>
                <c:pt idx="6">
                  <c:v>50536.27734375</c:v>
                </c:pt>
                <c:pt idx="7">
                  <c:v>46709.06640625</c:v>
                </c:pt>
                <c:pt idx="8">
                  <c:v>47643.3984375</c:v>
                </c:pt>
                <c:pt idx="9">
                  <c:v>44874.48046875</c:v>
                </c:pt>
                <c:pt idx="10">
                  <c:v>46276.87109375</c:v>
                </c:pt>
                <c:pt idx="11">
                  <c:v>48075.44921875</c:v>
                </c:pt>
                <c:pt idx="12">
                  <c:v>48461.234375</c:v>
                </c:pt>
                <c:pt idx="13">
                  <c:v>51626.83203125</c:v>
                </c:pt>
                <c:pt idx="14">
                  <c:v>48761.73046875</c:v>
                </c:pt>
                <c:pt idx="15">
                  <c:v>35525.46484375</c:v>
                </c:pt>
                <c:pt idx="16">
                  <c:v>28207.09765625</c:v>
                </c:pt>
                <c:pt idx="17">
                  <c:v>15096.8701171875</c:v>
                </c:pt>
                <c:pt idx="18">
                  <c:v>1516.4892578125</c:v>
                </c:pt>
                <c:pt idx="19">
                  <c:v>-12297.97265625</c:v>
                </c:pt>
                <c:pt idx="20">
                  <c:v>-20306.552734375</c:v>
                </c:pt>
                <c:pt idx="21">
                  <c:v>-27554.8984375</c:v>
                </c:pt>
                <c:pt idx="22">
                  <c:v>-46965.5625</c:v>
                </c:pt>
                <c:pt idx="23">
                  <c:v>-44738.48046875</c:v>
                </c:pt>
                <c:pt idx="24">
                  <c:v>-50425.70703125</c:v>
                </c:pt>
                <c:pt idx="25">
                  <c:v>-50122.18359375</c:v>
                </c:pt>
                <c:pt idx="26">
                  <c:v>-52230.8125</c:v>
                </c:pt>
                <c:pt idx="27">
                  <c:v>-63458.5</c:v>
                </c:pt>
                <c:pt idx="28">
                  <c:v>-59457.21875</c:v>
                </c:pt>
                <c:pt idx="29">
                  <c:v>-48571.69921875</c:v>
                </c:pt>
                <c:pt idx="30">
                  <c:v>-25280.173828125</c:v>
                </c:pt>
                <c:pt idx="31">
                  <c:v>-6791.96044921875</c:v>
                </c:pt>
                <c:pt idx="32">
                  <c:v>6195.99609375</c:v>
                </c:pt>
                <c:pt idx="33">
                  <c:v>27989.0234375</c:v>
                </c:pt>
                <c:pt idx="34">
                  <c:v>58588.91796875</c:v>
                </c:pt>
                <c:pt idx="35">
                  <c:v>91328.3359375</c:v>
                </c:pt>
                <c:pt idx="36">
                  <c:v>111073.8984375</c:v>
                </c:pt>
                <c:pt idx="37">
                  <c:v>122827.578125</c:v>
                </c:pt>
                <c:pt idx="38">
                  <c:v>118270.203125</c:v>
                </c:pt>
                <c:pt idx="39">
                  <c:v>119336.46875</c:v>
                </c:pt>
                <c:pt idx="40">
                  <c:v>117519.953125</c:v>
                </c:pt>
                <c:pt idx="41">
                  <c:v>114715.2890625</c:v>
                </c:pt>
                <c:pt idx="42">
                  <c:v>108881.0546875</c:v>
                </c:pt>
                <c:pt idx="43">
                  <c:v>109901.296875</c:v>
                </c:pt>
                <c:pt idx="44">
                  <c:v>100464.09375</c:v>
                </c:pt>
                <c:pt idx="45">
                  <c:v>84581.28125</c:v>
                </c:pt>
                <c:pt idx="46">
                  <c:v>67321.734375</c:v>
                </c:pt>
                <c:pt idx="47">
                  <c:v>63650.3828125</c:v>
                </c:pt>
                <c:pt idx="48">
                  <c:v>60621.5390625</c:v>
                </c:pt>
                <c:pt idx="49">
                  <c:v>58035.71875</c:v>
                </c:pt>
                <c:pt idx="50">
                  <c:v>48853.71484375</c:v>
                </c:pt>
                <c:pt idx="51">
                  <c:v>50116.94921875</c:v>
                </c:pt>
                <c:pt idx="52">
                  <c:v>55065.75390625</c:v>
                </c:pt>
                <c:pt idx="53">
                  <c:v>54081.43359375</c:v>
                </c:pt>
                <c:pt idx="54">
                  <c:v>51790.69921875</c:v>
                </c:pt>
                <c:pt idx="55">
                  <c:v>46525.03515625</c:v>
                </c:pt>
                <c:pt idx="56">
                  <c:v>49027.8203125</c:v>
                </c:pt>
                <c:pt idx="57">
                  <c:v>45614.703125</c:v>
                </c:pt>
                <c:pt idx="58">
                  <c:v>44751.73828125</c:v>
                </c:pt>
                <c:pt idx="59">
                  <c:v>44975.0703125</c:v>
                </c:pt>
                <c:pt idx="60">
                  <c:v>48129.67578125</c:v>
                </c:pt>
                <c:pt idx="61">
                  <c:v>50196.18359375</c:v>
                </c:pt>
                <c:pt idx="62">
                  <c:v>45748.765625</c:v>
                </c:pt>
                <c:pt idx="63">
                  <c:v>41067.23828125</c:v>
                </c:pt>
                <c:pt idx="64">
                  <c:v>34747.2109375</c:v>
                </c:pt>
                <c:pt idx="65">
                  <c:v>25682.28125</c:v>
                </c:pt>
                <c:pt idx="66">
                  <c:v>17367.607421875</c:v>
                </c:pt>
                <c:pt idx="67">
                  <c:v>7006.26318359375</c:v>
                </c:pt>
                <c:pt idx="68">
                  <c:v>13068.21875</c:v>
                </c:pt>
                <c:pt idx="69">
                  <c:v>15347.7275390625</c:v>
                </c:pt>
                <c:pt idx="70">
                  <c:v>15545.0263671875</c:v>
                </c:pt>
                <c:pt idx="71">
                  <c:v>14310.2724609375</c:v>
                </c:pt>
                <c:pt idx="72">
                  <c:v>28161.083984375</c:v>
                </c:pt>
                <c:pt idx="73">
                  <c:v>41375.3515625</c:v>
                </c:pt>
                <c:pt idx="74">
                  <c:v>41813.74609375</c:v>
                </c:pt>
                <c:pt idx="75">
                  <c:v>67427.6875</c:v>
                </c:pt>
                <c:pt idx="76">
                  <c:v>91719.59375</c:v>
                </c:pt>
                <c:pt idx="77">
                  <c:v>108238.875</c:v>
                </c:pt>
                <c:pt idx="78">
                  <c:v>131268.375</c:v>
                </c:pt>
                <c:pt idx="79">
                  <c:v>146292.859375</c:v>
                </c:pt>
                <c:pt idx="80">
                  <c:v>149841.90625</c:v>
                </c:pt>
                <c:pt idx="81">
                  <c:v>186011.90625</c:v>
                </c:pt>
                <c:pt idx="82">
                  <c:v>216611.515625</c:v>
                </c:pt>
                <c:pt idx="83">
                  <c:v>248331.046875</c:v>
                </c:pt>
                <c:pt idx="84">
                  <c:v>268961.03125</c:v>
                </c:pt>
                <c:pt idx="85">
                  <c:v>273358.1875</c:v>
                </c:pt>
                <c:pt idx="86">
                  <c:v>292264.25</c:v>
                </c:pt>
                <c:pt idx="87">
                  <c:v>297245.9375</c:v>
                </c:pt>
                <c:pt idx="88">
                  <c:v>291364.4375</c:v>
                </c:pt>
                <c:pt idx="89">
                  <c:v>276151.9375</c:v>
                </c:pt>
                <c:pt idx="90">
                  <c:v>250126.78125</c:v>
                </c:pt>
                <c:pt idx="91">
                  <c:v>248281.890625</c:v>
                </c:pt>
                <c:pt idx="92">
                  <c:v>208268.71875</c:v>
                </c:pt>
                <c:pt idx="93">
                  <c:v>179451.765625</c:v>
                </c:pt>
                <c:pt idx="94">
                  <c:v>157791.078125</c:v>
                </c:pt>
                <c:pt idx="95">
                  <c:v>142743.96875</c:v>
                </c:pt>
                <c:pt idx="96">
                  <c:v>126260.7265625</c:v>
                </c:pt>
                <c:pt idx="97">
                  <c:v>123193.71875</c:v>
                </c:pt>
                <c:pt idx="98">
                  <c:v>109107.21875</c:v>
                </c:pt>
                <c:pt idx="99">
                  <c:v>101880.8359375</c:v>
                </c:pt>
                <c:pt idx="100">
                  <c:v>108679.1015625</c:v>
                </c:pt>
                <c:pt idx="101">
                  <c:v>112386.3046875</c:v>
                </c:pt>
                <c:pt idx="102">
                  <c:v>106248.15625</c:v>
                </c:pt>
                <c:pt idx="103">
                  <c:v>98357.5703125</c:v>
                </c:pt>
                <c:pt idx="104">
                  <c:v>90363.5390625</c:v>
                </c:pt>
                <c:pt idx="105">
                  <c:v>85077.53125</c:v>
                </c:pt>
                <c:pt idx="106">
                  <c:v>80591.9921875</c:v>
                </c:pt>
                <c:pt idx="107">
                  <c:v>69962.59375</c:v>
                </c:pt>
                <c:pt idx="108">
                  <c:v>62512.19921875</c:v>
                </c:pt>
                <c:pt idx="109">
                  <c:v>62556.12109375</c:v>
                </c:pt>
                <c:pt idx="110">
                  <c:v>56232.11328125</c:v>
                </c:pt>
                <c:pt idx="111">
                  <c:v>47905.46875</c:v>
                </c:pt>
                <c:pt idx="112">
                  <c:v>37083.9609375</c:v>
                </c:pt>
                <c:pt idx="113">
                  <c:v>29445.5</c:v>
                </c:pt>
                <c:pt idx="114">
                  <c:v>15110.876953125</c:v>
                </c:pt>
                <c:pt idx="115">
                  <c:v>6073.9619140625</c:v>
                </c:pt>
                <c:pt idx="116">
                  <c:v>84.027153015136705</c:v>
                </c:pt>
                <c:pt idx="117">
                  <c:v>-9515.0810546875</c:v>
                </c:pt>
                <c:pt idx="118">
                  <c:v>-13334.3115234375</c:v>
                </c:pt>
                <c:pt idx="119">
                  <c:v>-12657.3974609375</c:v>
                </c:pt>
                <c:pt idx="120">
                  <c:v>-19096.16015625</c:v>
                </c:pt>
                <c:pt idx="121">
                  <c:v>-34078.98828125</c:v>
                </c:pt>
                <c:pt idx="122">
                  <c:v>-32742.568359375</c:v>
                </c:pt>
                <c:pt idx="123">
                  <c:v>-13832.46484375</c:v>
                </c:pt>
                <c:pt idx="124">
                  <c:v>-13812.462890625</c:v>
                </c:pt>
                <c:pt idx="125">
                  <c:v>-16761.41796875</c:v>
                </c:pt>
                <c:pt idx="126">
                  <c:v>-5241.69482421875</c:v>
                </c:pt>
                <c:pt idx="127">
                  <c:v>17497.640625</c:v>
                </c:pt>
                <c:pt idx="128">
                  <c:v>24169.794921875</c:v>
                </c:pt>
                <c:pt idx="129">
                  <c:v>34461.1171875</c:v>
                </c:pt>
                <c:pt idx="130">
                  <c:v>40645.11328125</c:v>
                </c:pt>
                <c:pt idx="131">
                  <c:v>61159.69140625</c:v>
                </c:pt>
                <c:pt idx="132">
                  <c:v>76724.6875</c:v>
                </c:pt>
                <c:pt idx="133">
                  <c:v>81190.203125</c:v>
                </c:pt>
                <c:pt idx="134">
                  <c:v>76136.6015625</c:v>
                </c:pt>
                <c:pt idx="135">
                  <c:v>81306.2734375</c:v>
                </c:pt>
                <c:pt idx="136">
                  <c:v>83997.109375</c:v>
                </c:pt>
                <c:pt idx="137">
                  <c:v>88834.6484375</c:v>
                </c:pt>
                <c:pt idx="138">
                  <c:v>82008.4453125</c:v>
                </c:pt>
                <c:pt idx="139">
                  <c:v>76456.6875</c:v>
                </c:pt>
                <c:pt idx="140">
                  <c:v>69868.4453125</c:v>
                </c:pt>
                <c:pt idx="141">
                  <c:v>64609.64453125</c:v>
                </c:pt>
                <c:pt idx="142">
                  <c:v>59833.32421875</c:v>
                </c:pt>
                <c:pt idx="143">
                  <c:v>59177.140625</c:v>
                </c:pt>
                <c:pt idx="144">
                  <c:v>55892.0546875</c:v>
                </c:pt>
                <c:pt idx="145">
                  <c:v>54947.7109375</c:v>
                </c:pt>
                <c:pt idx="146">
                  <c:v>46290.9375</c:v>
                </c:pt>
                <c:pt idx="147">
                  <c:v>45474.671875</c:v>
                </c:pt>
                <c:pt idx="148">
                  <c:v>50730.34765625</c:v>
                </c:pt>
                <c:pt idx="149">
                  <c:v>45350.66015625</c:v>
                </c:pt>
                <c:pt idx="150">
                  <c:v>46110.8828125</c:v>
                </c:pt>
                <c:pt idx="151">
                  <c:v>42371.62109375</c:v>
                </c:pt>
                <c:pt idx="152">
                  <c:v>41415.75390625</c:v>
                </c:pt>
                <c:pt idx="153">
                  <c:v>37984.3046875</c:v>
                </c:pt>
                <c:pt idx="154">
                  <c:v>41003.2265625</c:v>
                </c:pt>
                <c:pt idx="155">
                  <c:v>43726.109375</c:v>
                </c:pt>
                <c:pt idx="156">
                  <c:v>51022.44921875</c:v>
                </c:pt>
                <c:pt idx="157">
                  <c:v>48677.734375</c:v>
                </c:pt>
                <c:pt idx="158">
                  <c:v>53615.3046875</c:v>
                </c:pt>
                <c:pt idx="159">
                  <c:v>43455.953125</c:v>
                </c:pt>
                <c:pt idx="160">
                  <c:v>40190.5546875</c:v>
                </c:pt>
                <c:pt idx="161">
                  <c:v>37412.2421875</c:v>
                </c:pt>
                <c:pt idx="162">
                  <c:v>33213.75390625</c:v>
                </c:pt>
                <c:pt idx="163">
                  <c:v>22621.291015625</c:v>
                </c:pt>
                <c:pt idx="164">
                  <c:v>14330.619140625</c:v>
                </c:pt>
                <c:pt idx="165">
                  <c:v>22585.287109375</c:v>
                </c:pt>
                <c:pt idx="166">
                  <c:v>16067.1845703125</c:v>
                </c:pt>
                <c:pt idx="167">
                  <c:v>15054.8583984375</c:v>
                </c:pt>
                <c:pt idx="168">
                  <c:v>9973.2197265625</c:v>
                </c:pt>
                <c:pt idx="169">
                  <c:v>3991.28881835937</c:v>
                </c:pt>
                <c:pt idx="170">
                  <c:v>11211.62109375</c:v>
                </c:pt>
                <c:pt idx="171">
                  <c:v>9741.9404296875</c:v>
                </c:pt>
                <c:pt idx="172">
                  <c:v>9920.25390625</c:v>
                </c:pt>
                <c:pt idx="173">
                  <c:v>7870.5380859375</c:v>
                </c:pt>
                <c:pt idx="174">
                  <c:v>5949.91796875</c:v>
                </c:pt>
                <c:pt idx="175">
                  <c:v>11237.6279296875</c:v>
                </c:pt>
                <c:pt idx="176">
                  <c:v>15338.951171875</c:v>
                </c:pt>
                <c:pt idx="177">
                  <c:v>23829.693359375</c:v>
                </c:pt>
                <c:pt idx="178">
                  <c:v>36803.87109375</c:v>
                </c:pt>
                <c:pt idx="179">
                  <c:v>55493.9609375</c:v>
                </c:pt>
                <c:pt idx="180">
                  <c:v>68942.28125</c:v>
                </c:pt>
                <c:pt idx="181">
                  <c:v>73743.84375</c:v>
                </c:pt>
                <c:pt idx="182">
                  <c:v>71782.7890625</c:v>
                </c:pt>
                <c:pt idx="183">
                  <c:v>74259.984375</c:v>
                </c:pt>
                <c:pt idx="184">
                  <c:v>85173.46875</c:v>
                </c:pt>
                <c:pt idx="185">
                  <c:v>86707.8203125</c:v>
                </c:pt>
                <c:pt idx="186">
                  <c:v>82799.5703125</c:v>
                </c:pt>
                <c:pt idx="187">
                  <c:v>73526.3359375</c:v>
                </c:pt>
                <c:pt idx="188">
                  <c:v>75454.3671875</c:v>
                </c:pt>
                <c:pt idx="189">
                  <c:v>66693.5390625</c:v>
                </c:pt>
                <c:pt idx="190">
                  <c:v>60661.6015625</c:v>
                </c:pt>
                <c:pt idx="191">
                  <c:v>56202.44921875</c:v>
                </c:pt>
                <c:pt idx="192">
                  <c:v>52040.765625</c:v>
                </c:pt>
                <c:pt idx="193">
                  <c:v>53441.22265625</c:v>
                </c:pt>
                <c:pt idx="194">
                  <c:v>46494.97265625</c:v>
                </c:pt>
                <c:pt idx="195">
                  <c:v>46639.0703125</c:v>
                </c:pt>
                <c:pt idx="196">
                  <c:v>50638.33984375</c:v>
                </c:pt>
                <c:pt idx="197">
                  <c:v>47569.27734375</c:v>
                </c:pt>
                <c:pt idx="198">
                  <c:v>47903.421875</c:v>
                </c:pt>
                <c:pt idx="199">
                  <c:v>42459.71875</c:v>
                </c:pt>
                <c:pt idx="200">
                  <c:v>41790.40234375</c:v>
                </c:pt>
                <c:pt idx="201">
                  <c:v>37970.2421875</c:v>
                </c:pt>
                <c:pt idx="202">
                  <c:v>41621.4375</c:v>
                </c:pt>
                <c:pt idx="203">
                  <c:v>39948.87890625</c:v>
                </c:pt>
                <c:pt idx="204">
                  <c:v>43025.87890625</c:v>
                </c:pt>
                <c:pt idx="205">
                  <c:v>46490.9765625</c:v>
                </c:pt>
                <c:pt idx="206">
                  <c:v>43313.94140625</c:v>
                </c:pt>
                <c:pt idx="207">
                  <c:v>41058.6484375</c:v>
                </c:pt>
                <c:pt idx="208">
                  <c:v>21424.4140625</c:v>
                </c:pt>
                <c:pt idx="209">
                  <c:v>7342.82568359375</c:v>
                </c:pt>
                <c:pt idx="210">
                  <c:v>-4687.51123046875</c:v>
                </c:pt>
                <c:pt idx="211">
                  <c:v>-20148.2109375</c:v>
                </c:pt>
                <c:pt idx="212">
                  <c:v>-40324.44140625</c:v>
                </c:pt>
                <c:pt idx="213">
                  <c:v>-46474.95703125</c:v>
                </c:pt>
                <c:pt idx="214">
                  <c:v>-49596</c:v>
                </c:pt>
                <c:pt idx="215">
                  <c:v>-46661.0546875</c:v>
                </c:pt>
                <c:pt idx="216">
                  <c:v>-40303.02734375</c:v>
                </c:pt>
                <c:pt idx="217">
                  <c:v>-54151.4921875</c:v>
                </c:pt>
                <c:pt idx="218">
                  <c:v>-48611.72265625</c:v>
                </c:pt>
                <c:pt idx="219">
                  <c:v>-47251.73828125</c:v>
                </c:pt>
                <c:pt idx="220">
                  <c:v>-24275.83984375</c:v>
                </c:pt>
                <c:pt idx="221">
                  <c:v>-10675.4443359375</c:v>
                </c:pt>
                <c:pt idx="222">
                  <c:v>13394.3271484375</c:v>
                </c:pt>
                <c:pt idx="223">
                  <c:v>28613.224609375</c:v>
                </c:pt>
                <c:pt idx="224">
                  <c:v>40789.1796875</c:v>
                </c:pt>
                <c:pt idx="225">
                  <c:v>66957.6640625</c:v>
                </c:pt>
                <c:pt idx="226">
                  <c:v>87348.28125</c:v>
                </c:pt>
                <c:pt idx="227">
                  <c:v>111165.859375</c:v>
                </c:pt>
                <c:pt idx="228">
                  <c:v>137396.4375</c:v>
                </c:pt>
                <c:pt idx="229">
                  <c:v>149972.515625</c:v>
                </c:pt>
                <c:pt idx="230">
                  <c:v>162444.359375</c:v>
                </c:pt>
                <c:pt idx="231">
                  <c:v>164849.171875</c:v>
                </c:pt>
                <c:pt idx="232">
                  <c:v>163630.640625</c:v>
                </c:pt>
                <c:pt idx="233">
                  <c:v>154213.875</c:v>
                </c:pt>
                <c:pt idx="234">
                  <c:v>149748.4375</c:v>
                </c:pt>
                <c:pt idx="235">
                  <c:v>134411.515625</c:v>
                </c:pt>
                <c:pt idx="236">
                  <c:v>121795.265625</c:v>
                </c:pt>
                <c:pt idx="237">
                  <c:v>111669.421875</c:v>
                </c:pt>
                <c:pt idx="238">
                  <c:v>109545.1171875</c:v>
                </c:pt>
                <c:pt idx="239">
                  <c:v>91999.5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D0B-4AFC-BC15-B70EA5910442}"/>
            </c:ext>
          </c:extLst>
        </c:ser>
        <c:ser>
          <c:idx val="12"/>
          <c:order val="12"/>
          <c:tx>
            <c:strRef>
              <c:f>measured_powers!$N$252</c:f>
              <c:strCache>
                <c:ptCount val="1"/>
                <c:pt idx="0">
                  <c:v>p_692_C_W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measured_powers!$A$253:$A$492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measured_powers!$N$253:$N$492</c:f>
              <c:numCache>
                <c:formatCode>General</c:formatCode>
                <c:ptCount val="240"/>
                <c:pt idx="0">
                  <c:v>34798.53125</c:v>
                </c:pt>
                <c:pt idx="1">
                  <c:v>31855.81640625</c:v>
                </c:pt>
                <c:pt idx="2">
                  <c:v>29831.298828125</c:v>
                </c:pt>
                <c:pt idx="3">
                  <c:v>27050.392578125</c:v>
                </c:pt>
                <c:pt idx="4">
                  <c:v>25418.193359375</c:v>
                </c:pt>
                <c:pt idx="5">
                  <c:v>24015.8515625</c:v>
                </c:pt>
                <c:pt idx="6">
                  <c:v>22567.46875</c:v>
                </c:pt>
                <c:pt idx="7">
                  <c:v>23661.728515625</c:v>
                </c:pt>
                <c:pt idx="8">
                  <c:v>23331.765625</c:v>
                </c:pt>
                <c:pt idx="9">
                  <c:v>22665.53125</c:v>
                </c:pt>
                <c:pt idx="10">
                  <c:v>21759.302734375</c:v>
                </c:pt>
                <c:pt idx="11">
                  <c:v>23861.8359375</c:v>
                </c:pt>
                <c:pt idx="12">
                  <c:v>27092.37109375</c:v>
                </c:pt>
                <c:pt idx="13">
                  <c:v>29788.326171875</c:v>
                </c:pt>
                <c:pt idx="14">
                  <c:v>34473.48046875</c:v>
                </c:pt>
                <c:pt idx="15">
                  <c:v>31459.65625</c:v>
                </c:pt>
                <c:pt idx="16">
                  <c:v>33150.0625</c:v>
                </c:pt>
                <c:pt idx="17">
                  <c:v>33300.1015625</c:v>
                </c:pt>
                <c:pt idx="18">
                  <c:v>33718.1875</c:v>
                </c:pt>
                <c:pt idx="19">
                  <c:v>29785.494140625</c:v>
                </c:pt>
                <c:pt idx="20">
                  <c:v>32511.869140625</c:v>
                </c:pt>
                <c:pt idx="21">
                  <c:v>31381.6015625</c:v>
                </c:pt>
                <c:pt idx="22">
                  <c:v>32232.486328125</c:v>
                </c:pt>
                <c:pt idx="23">
                  <c:v>34858.41015625</c:v>
                </c:pt>
                <c:pt idx="24">
                  <c:v>38733.35546875</c:v>
                </c:pt>
                <c:pt idx="25">
                  <c:v>39913.64453125</c:v>
                </c:pt>
                <c:pt idx="26">
                  <c:v>42218.17578125</c:v>
                </c:pt>
                <c:pt idx="27">
                  <c:v>40981.90234375</c:v>
                </c:pt>
                <c:pt idx="28">
                  <c:v>46585.16015625</c:v>
                </c:pt>
                <c:pt idx="29">
                  <c:v>48411.71875</c:v>
                </c:pt>
                <c:pt idx="30">
                  <c:v>54132.046875</c:v>
                </c:pt>
                <c:pt idx="31">
                  <c:v>56081.6328125</c:v>
                </c:pt>
                <c:pt idx="32">
                  <c:v>53825.01171875</c:v>
                </c:pt>
                <c:pt idx="33">
                  <c:v>50748.33984375</c:v>
                </c:pt>
                <c:pt idx="34">
                  <c:v>52306.8125</c:v>
                </c:pt>
                <c:pt idx="35">
                  <c:v>66442.328125</c:v>
                </c:pt>
                <c:pt idx="36">
                  <c:v>61793.203125</c:v>
                </c:pt>
                <c:pt idx="37">
                  <c:v>55713.68359375</c:v>
                </c:pt>
                <c:pt idx="38">
                  <c:v>56177.81640625</c:v>
                </c:pt>
                <c:pt idx="39">
                  <c:v>61525.06640625</c:v>
                </c:pt>
                <c:pt idx="40">
                  <c:v>55291.6015625</c:v>
                </c:pt>
                <c:pt idx="41">
                  <c:v>49487.4921875</c:v>
                </c:pt>
                <c:pt idx="42">
                  <c:v>50696.44921875</c:v>
                </c:pt>
                <c:pt idx="43">
                  <c:v>47003.4921875</c:v>
                </c:pt>
                <c:pt idx="44">
                  <c:v>42339.2890625</c:v>
                </c:pt>
                <c:pt idx="45">
                  <c:v>44468.890625</c:v>
                </c:pt>
                <c:pt idx="46">
                  <c:v>40447.90625</c:v>
                </c:pt>
                <c:pt idx="47">
                  <c:v>33798.24609375</c:v>
                </c:pt>
                <c:pt idx="48">
                  <c:v>31301.5859375</c:v>
                </c:pt>
                <c:pt idx="49">
                  <c:v>27008.599609375</c:v>
                </c:pt>
                <c:pt idx="50">
                  <c:v>27666.740234375</c:v>
                </c:pt>
                <c:pt idx="51">
                  <c:v>22665.220703125</c:v>
                </c:pt>
                <c:pt idx="52">
                  <c:v>23761.7890625</c:v>
                </c:pt>
                <c:pt idx="53">
                  <c:v>20865.083984375</c:v>
                </c:pt>
                <c:pt idx="54">
                  <c:v>24906.025390625</c:v>
                </c:pt>
                <c:pt idx="55">
                  <c:v>21551.33203125</c:v>
                </c:pt>
                <c:pt idx="56">
                  <c:v>22437.4765625</c:v>
                </c:pt>
                <c:pt idx="57">
                  <c:v>21665.287109375</c:v>
                </c:pt>
                <c:pt idx="58">
                  <c:v>22111.40625</c:v>
                </c:pt>
                <c:pt idx="59">
                  <c:v>22445.166015625</c:v>
                </c:pt>
                <c:pt idx="60">
                  <c:v>26379.66015625</c:v>
                </c:pt>
                <c:pt idx="61">
                  <c:v>30977.537109375</c:v>
                </c:pt>
                <c:pt idx="62">
                  <c:v>29555.228515625</c:v>
                </c:pt>
                <c:pt idx="63">
                  <c:v>37651.36328125</c:v>
                </c:pt>
                <c:pt idx="64">
                  <c:v>35891.3984375</c:v>
                </c:pt>
                <c:pt idx="65">
                  <c:v>40629.85546875</c:v>
                </c:pt>
                <c:pt idx="66">
                  <c:v>35610.65234375</c:v>
                </c:pt>
                <c:pt idx="67">
                  <c:v>44256.7578125</c:v>
                </c:pt>
                <c:pt idx="68">
                  <c:v>47297.5078125</c:v>
                </c:pt>
                <c:pt idx="69">
                  <c:v>50080.13671875</c:v>
                </c:pt>
                <c:pt idx="70">
                  <c:v>59362.484375</c:v>
                </c:pt>
                <c:pt idx="71">
                  <c:v>61554.44140625</c:v>
                </c:pt>
                <c:pt idx="72">
                  <c:v>76664.75</c:v>
                </c:pt>
                <c:pt idx="73">
                  <c:v>77342.84375</c:v>
                </c:pt>
                <c:pt idx="74">
                  <c:v>79165.328125</c:v>
                </c:pt>
                <c:pt idx="75">
                  <c:v>89630.03125</c:v>
                </c:pt>
                <c:pt idx="76">
                  <c:v>94155.1015625</c:v>
                </c:pt>
                <c:pt idx="77">
                  <c:v>96985.1796875</c:v>
                </c:pt>
                <c:pt idx="78">
                  <c:v>104471.640625</c:v>
                </c:pt>
                <c:pt idx="79">
                  <c:v>112535.5546875</c:v>
                </c:pt>
                <c:pt idx="80">
                  <c:v>118609.9921875</c:v>
                </c:pt>
                <c:pt idx="81">
                  <c:v>129790.078125</c:v>
                </c:pt>
                <c:pt idx="82">
                  <c:v>138347.234375</c:v>
                </c:pt>
                <c:pt idx="83">
                  <c:v>152013.84375</c:v>
                </c:pt>
                <c:pt idx="84">
                  <c:v>167458.109375</c:v>
                </c:pt>
                <c:pt idx="85">
                  <c:v>175507.890625</c:v>
                </c:pt>
                <c:pt idx="86">
                  <c:v>168980.390625</c:v>
                </c:pt>
                <c:pt idx="87">
                  <c:v>159255.703125</c:v>
                </c:pt>
                <c:pt idx="88">
                  <c:v>157593.828125</c:v>
                </c:pt>
                <c:pt idx="89">
                  <c:v>163747</c:v>
                </c:pt>
                <c:pt idx="90">
                  <c:v>148133.328125</c:v>
                </c:pt>
                <c:pt idx="91">
                  <c:v>134325.59375</c:v>
                </c:pt>
                <c:pt idx="92">
                  <c:v>121576.1953125</c:v>
                </c:pt>
                <c:pt idx="93">
                  <c:v>111730.0703125</c:v>
                </c:pt>
                <c:pt idx="94">
                  <c:v>86277.6796875</c:v>
                </c:pt>
                <c:pt idx="95">
                  <c:v>81870.078125</c:v>
                </c:pt>
                <c:pt idx="96">
                  <c:v>77361.0703125</c:v>
                </c:pt>
                <c:pt idx="97">
                  <c:v>66374.3359375</c:v>
                </c:pt>
                <c:pt idx="98">
                  <c:v>66998.515625</c:v>
                </c:pt>
                <c:pt idx="99">
                  <c:v>60735.1328125</c:v>
                </c:pt>
                <c:pt idx="100">
                  <c:v>57196.18359375</c:v>
                </c:pt>
                <c:pt idx="101">
                  <c:v>52414.97265625</c:v>
                </c:pt>
                <c:pt idx="102">
                  <c:v>51299.3203125</c:v>
                </c:pt>
                <c:pt idx="103">
                  <c:v>46239.2734375</c:v>
                </c:pt>
                <c:pt idx="104">
                  <c:v>47641.66015625</c:v>
                </c:pt>
                <c:pt idx="105">
                  <c:v>45039.02734375</c:v>
                </c:pt>
                <c:pt idx="106">
                  <c:v>41384.0078125</c:v>
                </c:pt>
                <c:pt idx="107">
                  <c:v>40819.93359375</c:v>
                </c:pt>
                <c:pt idx="108">
                  <c:v>37831.19921875</c:v>
                </c:pt>
                <c:pt idx="109">
                  <c:v>38137.4296875</c:v>
                </c:pt>
                <c:pt idx="110">
                  <c:v>42698.3203125</c:v>
                </c:pt>
                <c:pt idx="111">
                  <c:v>34380.4140625</c:v>
                </c:pt>
                <c:pt idx="112">
                  <c:v>34856.5</c:v>
                </c:pt>
                <c:pt idx="113">
                  <c:v>34996.52734375</c:v>
                </c:pt>
                <c:pt idx="114">
                  <c:v>31683.7109375</c:v>
                </c:pt>
                <c:pt idx="115">
                  <c:v>32141.82421875</c:v>
                </c:pt>
                <c:pt idx="116">
                  <c:v>28058.826171875</c:v>
                </c:pt>
                <c:pt idx="117">
                  <c:v>29701.228515625</c:v>
                </c:pt>
                <c:pt idx="118">
                  <c:v>29979.287109375</c:v>
                </c:pt>
                <c:pt idx="119">
                  <c:v>31581.646484375</c:v>
                </c:pt>
                <c:pt idx="120">
                  <c:v>35056.49609375</c:v>
                </c:pt>
                <c:pt idx="121">
                  <c:v>34356.3203125</c:v>
                </c:pt>
                <c:pt idx="122">
                  <c:v>30775.451171875</c:v>
                </c:pt>
                <c:pt idx="123">
                  <c:v>27580.69921875</c:v>
                </c:pt>
                <c:pt idx="124">
                  <c:v>28546.923828125</c:v>
                </c:pt>
                <c:pt idx="125">
                  <c:v>31094.857421875</c:v>
                </c:pt>
                <c:pt idx="126">
                  <c:v>34610.4140625</c:v>
                </c:pt>
                <c:pt idx="127">
                  <c:v>32160.791015625</c:v>
                </c:pt>
                <c:pt idx="128">
                  <c:v>28166.83984375</c:v>
                </c:pt>
                <c:pt idx="129">
                  <c:v>35956.7421875</c:v>
                </c:pt>
                <c:pt idx="130">
                  <c:v>34126.7578125</c:v>
                </c:pt>
                <c:pt idx="131">
                  <c:v>37901.24609375</c:v>
                </c:pt>
                <c:pt idx="132">
                  <c:v>49088.03515625</c:v>
                </c:pt>
                <c:pt idx="133">
                  <c:v>49450.08984375</c:v>
                </c:pt>
                <c:pt idx="134">
                  <c:v>42888.53125</c:v>
                </c:pt>
                <c:pt idx="135">
                  <c:v>41422.41015625</c:v>
                </c:pt>
                <c:pt idx="136">
                  <c:v>49016.078125</c:v>
                </c:pt>
                <c:pt idx="137">
                  <c:v>45833.21484375</c:v>
                </c:pt>
                <c:pt idx="138">
                  <c:v>47479.62109375</c:v>
                </c:pt>
                <c:pt idx="139">
                  <c:v>42020.29296875</c:v>
                </c:pt>
                <c:pt idx="140">
                  <c:v>39403.61328125</c:v>
                </c:pt>
                <c:pt idx="141">
                  <c:v>39765.75</c:v>
                </c:pt>
                <c:pt idx="142">
                  <c:v>36712.98828125</c:v>
                </c:pt>
                <c:pt idx="143">
                  <c:v>30871.59765625</c:v>
                </c:pt>
                <c:pt idx="144">
                  <c:v>28426.95703125</c:v>
                </c:pt>
                <c:pt idx="145">
                  <c:v>22239.384765625</c:v>
                </c:pt>
                <c:pt idx="146">
                  <c:v>23141.654296875</c:v>
                </c:pt>
                <c:pt idx="147">
                  <c:v>22479.50390625</c:v>
                </c:pt>
                <c:pt idx="148">
                  <c:v>20078.953125</c:v>
                </c:pt>
                <c:pt idx="149">
                  <c:v>19832.857421875</c:v>
                </c:pt>
                <c:pt idx="150">
                  <c:v>21781.31640625</c:v>
                </c:pt>
                <c:pt idx="151">
                  <c:v>20689.0390625</c:v>
                </c:pt>
                <c:pt idx="152">
                  <c:v>21385.224609375</c:v>
                </c:pt>
                <c:pt idx="153">
                  <c:v>19808.841796875</c:v>
                </c:pt>
                <c:pt idx="154">
                  <c:v>22371.19140625</c:v>
                </c:pt>
                <c:pt idx="155">
                  <c:v>21501.669921875</c:v>
                </c:pt>
                <c:pt idx="156">
                  <c:v>26910.52734375</c:v>
                </c:pt>
                <c:pt idx="157">
                  <c:v>30983.671875</c:v>
                </c:pt>
                <c:pt idx="158">
                  <c:v>33976.296875</c:v>
                </c:pt>
                <c:pt idx="159">
                  <c:v>32289.970703125</c:v>
                </c:pt>
                <c:pt idx="160">
                  <c:v>36102.828125</c:v>
                </c:pt>
                <c:pt idx="161">
                  <c:v>33876.28515625</c:v>
                </c:pt>
                <c:pt idx="162">
                  <c:v>33392.16015625</c:v>
                </c:pt>
                <c:pt idx="163">
                  <c:v>32503.900390625</c:v>
                </c:pt>
                <c:pt idx="164">
                  <c:v>31227.5859375</c:v>
                </c:pt>
                <c:pt idx="165">
                  <c:v>35528.63671875</c:v>
                </c:pt>
                <c:pt idx="166">
                  <c:v>32075.796875</c:v>
                </c:pt>
                <c:pt idx="167">
                  <c:v>30825.494140625</c:v>
                </c:pt>
                <c:pt idx="168">
                  <c:v>31127.55859375</c:v>
                </c:pt>
                <c:pt idx="169">
                  <c:v>34362.35546875</c:v>
                </c:pt>
                <c:pt idx="170">
                  <c:v>32811.98046875</c:v>
                </c:pt>
                <c:pt idx="171">
                  <c:v>31519.67578125</c:v>
                </c:pt>
                <c:pt idx="172">
                  <c:v>24948.640625</c:v>
                </c:pt>
                <c:pt idx="173">
                  <c:v>27082.568359375</c:v>
                </c:pt>
                <c:pt idx="174">
                  <c:v>27406.63671875</c:v>
                </c:pt>
                <c:pt idx="175">
                  <c:v>23589.734375</c:v>
                </c:pt>
                <c:pt idx="176">
                  <c:v>24223.888671875</c:v>
                </c:pt>
                <c:pt idx="177">
                  <c:v>27384.66015625</c:v>
                </c:pt>
                <c:pt idx="178">
                  <c:v>38671.3984375</c:v>
                </c:pt>
                <c:pt idx="179">
                  <c:v>46379.3515625</c:v>
                </c:pt>
                <c:pt idx="180">
                  <c:v>45991.2578125</c:v>
                </c:pt>
                <c:pt idx="181">
                  <c:v>46813.47265625</c:v>
                </c:pt>
                <c:pt idx="182">
                  <c:v>43906.19921875</c:v>
                </c:pt>
                <c:pt idx="183">
                  <c:v>44420.94921875</c:v>
                </c:pt>
                <c:pt idx="184">
                  <c:v>45077.03515625</c:v>
                </c:pt>
                <c:pt idx="185">
                  <c:v>44836.95703125</c:v>
                </c:pt>
                <c:pt idx="186">
                  <c:v>46335.375</c:v>
                </c:pt>
                <c:pt idx="187">
                  <c:v>42270.41796875</c:v>
                </c:pt>
                <c:pt idx="188">
                  <c:v>37141.09765625</c:v>
                </c:pt>
                <c:pt idx="189">
                  <c:v>43366.62890625</c:v>
                </c:pt>
                <c:pt idx="190">
                  <c:v>31853.802734375</c:v>
                </c:pt>
                <c:pt idx="191">
                  <c:v>33040.92578125</c:v>
                </c:pt>
                <c:pt idx="192">
                  <c:v>27602.7265625</c:v>
                </c:pt>
                <c:pt idx="193">
                  <c:v>25938.2734375</c:v>
                </c:pt>
                <c:pt idx="194">
                  <c:v>25114.087890625</c:v>
                </c:pt>
                <c:pt idx="195">
                  <c:v>21825.39453125</c:v>
                </c:pt>
                <c:pt idx="196">
                  <c:v>20460.994140625</c:v>
                </c:pt>
                <c:pt idx="197">
                  <c:v>20639.02734375</c:v>
                </c:pt>
                <c:pt idx="198">
                  <c:v>22117.39453125</c:v>
                </c:pt>
                <c:pt idx="199">
                  <c:v>24770.044921875</c:v>
                </c:pt>
                <c:pt idx="200">
                  <c:v>22267.35546875</c:v>
                </c:pt>
                <c:pt idx="201">
                  <c:v>21719.279296875</c:v>
                </c:pt>
                <c:pt idx="202">
                  <c:v>22625.541015625</c:v>
                </c:pt>
                <c:pt idx="203">
                  <c:v>23183.625</c:v>
                </c:pt>
                <c:pt idx="204">
                  <c:v>27758.734375</c:v>
                </c:pt>
                <c:pt idx="205">
                  <c:v>28678.99609375</c:v>
                </c:pt>
                <c:pt idx="206">
                  <c:v>32643.962890625</c:v>
                </c:pt>
                <c:pt idx="207">
                  <c:v>33568.20703125</c:v>
                </c:pt>
                <c:pt idx="208">
                  <c:v>32151.890625</c:v>
                </c:pt>
                <c:pt idx="209">
                  <c:v>35478.625</c:v>
                </c:pt>
                <c:pt idx="210">
                  <c:v>31895.732421875</c:v>
                </c:pt>
                <c:pt idx="211">
                  <c:v>29763.193359375</c:v>
                </c:pt>
                <c:pt idx="212">
                  <c:v>26990.515625</c:v>
                </c:pt>
                <c:pt idx="213">
                  <c:v>28674.91796875</c:v>
                </c:pt>
                <c:pt idx="214">
                  <c:v>40797.84765625</c:v>
                </c:pt>
                <c:pt idx="215">
                  <c:v>44366.69921875</c:v>
                </c:pt>
                <c:pt idx="216">
                  <c:v>54437.19140625</c:v>
                </c:pt>
                <c:pt idx="217">
                  <c:v>47911.59765625</c:v>
                </c:pt>
                <c:pt idx="218">
                  <c:v>53477.01953125</c:v>
                </c:pt>
                <c:pt idx="219">
                  <c:v>47365.3359375</c:v>
                </c:pt>
                <c:pt idx="220">
                  <c:v>49381.98046875</c:v>
                </c:pt>
                <c:pt idx="221">
                  <c:v>55863.5</c:v>
                </c:pt>
                <c:pt idx="222">
                  <c:v>61410.953125</c:v>
                </c:pt>
                <c:pt idx="223">
                  <c:v>61398.875</c:v>
                </c:pt>
                <c:pt idx="224">
                  <c:v>60814.82421875</c:v>
                </c:pt>
                <c:pt idx="225">
                  <c:v>67444.515625</c:v>
                </c:pt>
                <c:pt idx="226">
                  <c:v>69699.2109375</c:v>
                </c:pt>
                <c:pt idx="227">
                  <c:v>78147.15625</c:v>
                </c:pt>
                <c:pt idx="228">
                  <c:v>84671.9453125</c:v>
                </c:pt>
                <c:pt idx="229">
                  <c:v>88468.2265625</c:v>
                </c:pt>
                <c:pt idx="230">
                  <c:v>85645.046875</c:v>
                </c:pt>
                <c:pt idx="231">
                  <c:v>83972.6796875</c:v>
                </c:pt>
                <c:pt idx="232">
                  <c:v>88544.671875</c:v>
                </c:pt>
                <c:pt idx="233">
                  <c:v>96357.25</c:v>
                </c:pt>
                <c:pt idx="234">
                  <c:v>84354.3984375</c:v>
                </c:pt>
                <c:pt idx="235">
                  <c:v>82428.671875</c:v>
                </c:pt>
                <c:pt idx="236">
                  <c:v>74816.375</c:v>
                </c:pt>
                <c:pt idx="237">
                  <c:v>85621.5546875</c:v>
                </c:pt>
                <c:pt idx="238">
                  <c:v>75826.578125</c:v>
                </c:pt>
                <c:pt idx="239">
                  <c:v>65147.921875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D0B-4AFC-BC15-B70EA5910442}"/>
            </c:ext>
          </c:extLst>
        </c:ser>
        <c:ser>
          <c:idx val="13"/>
          <c:order val="13"/>
          <c:tx>
            <c:strRef>
              <c:f>measured_powers!$O$252</c:f>
              <c:strCache>
                <c:ptCount val="1"/>
                <c:pt idx="0">
                  <c:v>p_611_C_W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measured_powers!$A$253:$A$492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measured_powers!$O$253:$O$492</c:f>
              <c:numCache>
                <c:formatCode>General</c:formatCode>
                <c:ptCount val="240"/>
                <c:pt idx="0">
                  <c:v>31957.779296875</c:v>
                </c:pt>
                <c:pt idx="1">
                  <c:v>32701.716796875</c:v>
                </c:pt>
                <c:pt idx="2">
                  <c:v>30475.845703125</c:v>
                </c:pt>
                <c:pt idx="3">
                  <c:v>27853.6171875</c:v>
                </c:pt>
                <c:pt idx="4">
                  <c:v>25262.14453125</c:v>
                </c:pt>
                <c:pt idx="5">
                  <c:v>25276.150390625</c:v>
                </c:pt>
                <c:pt idx="6">
                  <c:v>23793.6640625</c:v>
                </c:pt>
                <c:pt idx="7">
                  <c:v>24583.9296875</c:v>
                </c:pt>
                <c:pt idx="8">
                  <c:v>24699.984375</c:v>
                </c:pt>
                <c:pt idx="9">
                  <c:v>23095.455078125</c:v>
                </c:pt>
                <c:pt idx="10">
                  <c:v>22387.1953125</c:v>
                </c:pt>
                <c:pt idx="11">
                  <c:v>24892.822265625</c:v>
                </c:pt>
                <c:pt idx="12">
                  <c:v>28031.369140625</c:v>
                </c:pt>
                <c:pt idx="13">
                  <c:v>30459.998046875</c:v>
                </c:pt>
                <c:pt idx="14">
                  <c:v>25796.322265625</c:v>
                </c:pt>
                <c:pt idx="15">
                  <c:v>20266.53515625</c:v>
                </c:pt>
                <c:pt idx="16">
                  <c:v>15474.9921875</c:v>
                </c:pt>
                <c:pt idx="17">
                  <c:v>7178.31591796875</c:v>
                </c:pt>
                <c:pt idx="18">
                  <c:v>1466.47314453125</c:v>
                </c:pt>
                <c:pt idx="19">
                  <c:v>-5015.6201171875</c:v>
                </c:pt>
                <c:pt idx="20">
                  <c:v>-11497.7109375</c:v>
                </c:pt>
                <c:pt idx="21">
                  <c:v>-20386.583984375</c:v>
                </c:pt>
                <c:pt idx="22">
                  <c:v>-25077.60546875</c:v>
                </c:pt>
                <c:pt idx="23">
                  <c:v>-23017.4453125</c:v>
                </c:pt>
                <c:pt idx="24">
                  <c:v>-21837.873046875</c:v>
                </c:pt>
                <c:pt idx="25">
                  <c:v>-21194.35546875</c:v>
                </c:pt>
                <c:pt idx="26">
                  <c:v>-19170.169921875</c:v>
                </c:pt>
                <c:pt idx="27">
                  <c:v>-26478.552734375</c:v>
                </c:pt>
                <c:pt idx="28">
                  <c:v>-26292.498046875</c:v>
                </c:pt>
                <c:pt idx="29">
                  <c:v>-22369.228515625</c:v>
                </c:pt>
                <c:pt idx="30">
                  <c:v>-9164.962890625</c:v>
                </c:pt>
                <c:pt idx="31">
                  <c:v>797.99523925781205</c:v>
                </c:pt>
                <c:pt idx="32">
                  <c:v>11983.8603515625</c:v>
                </c:pt>
                <c:pt idx="33">
                  <c:v>17829.748046875</c:v>
                </c:pt>
                <c:pt idx="34">
                  <c:v>24511.916015625</c:v>
                </c:pt>
                <c:pt idx="35">
                  <c:v>44449.0703125</c:v>
                </c:pt>
                <c:pt idx="36">
                  <c:v>49716.0703125</c:v>
                </c:pt>
                <c:pt idx="37">
                  <c:v>50056.1328125</c:v>
                </c:pt>
                <c:pt idx="38">
                  <c:v>55251.8515625</c:v>
                </c:pt>
                <c:pt idx="39">
                  <c:v>58200.80078125</c:v>
                </c:pt>
                <c:pt idx="40">
                  <c:v>53915.4140625</c:v>
                </c:pt>
                <c:pt idx="41">
                  <c:v>52235.6875</c:v>
                </c:pt>
                <c:pt idx="42">
                  <c:v>53263.15625</c:v>
                </c:pt>
                <c:pt idx="43">
                  <c:v>49577.91796875</c:v>
                </c:pt>
                <c:pt idx="44">
                  <c:v>46163.55859375</c:v>
                </c:pt>
                <c:pt idx="45">
                  <c:v>43233.94921875</c:v>
                </c:pt>
                <c:pt idx="46">
                  <c:v>36281.7109375</c:v>
                </c:pt>
                <c:pt idx="47">
                  <c:v>33910.859375</c:v>
                </c:pt>
                <c:pt idx="48">
                  <c:v>28879.30859375</c:v>
                </c:pt>
                <c:pt idx="49">
                  <c:v>25813.806640625</c:v>
                </c:pt>
                <c:pt idx="50">
                  <c:v>27074.72265625</c:v>
                </c:pt>
                <c:pt idx="51">
                  <c:v>24526.19921875</c:v>
                </c:pt>
                <c:pt idx="52">
                  <c:v>27428.84375</c:v>
                </c:pt>
                <c:pt idx="53">
                  <c:v>25594.251953125</c:v>
                </c:pt>
                <c:pt idx="54">
                  <c:v>27354.818359375</c:v>
                </c:pt>
                <c:pt idx="55">
                  <c:v>23671.65234375</c:v>
                </c:pt>
                <c:pt idx="56">
                  <c:v>25236.14453125</c:v>
                </c:pt>
                <c:pt idx="57">
                  <c:v>23545.58984375</c:v>
                </c:pt>
                <c:pt idx="58">
                  <c:v>23893.8671875</c:v>
                </c:pt>
                <c:pt idx="59">
                  <c:v>23401.56640625</c:v>
                </c:pt>
                <c:pt idx="60">
                  <c:v>25436.9375</c:v>
                </c:pt>
                <c:pt idx="61">
                  <c:v>28933.330078125</c:v>
                </c:pt>
                <c:pt idx="62">
                  <c:v>22665.31640625</c:v>
                </c:pt>
                <c:pt idx="63">
                  <c:v>23421.55078125</c:v>
                </c:pt>
                <c:pt idx="64">
                  <c:v>16249.2392578125</c:v>
                </c:pt>
                <c:pt idx="65">
                  <c:v>16337.26953125</c:v>
                </c:pt>
                <c:pt idx="66">
                  <c:v>3050.98510742187</c:v>
                </c:pt>
                <c:pt idx="67">
                  <c:v>2352.76000976562</c:v>
                </c:pt>
                <c:pt idx="68">
                  <c:v>6552.1142578125</c:v>
                </c:pt>
                <c:pt idx="69">
                  <c:v>8544.9619140625</c:v>
                </c:pt>
                <c:pt idx="70">
                  <c:v>14784.7802734375</c:v>
                </c:pt>
                <c:pt idx="71">
                  <c:v>13607.2392578125</c:v>
                </c:pt>
                <c:pt idx="72">
                  <c:v>17729.720703125</c:v>
                </c:pt>
                <c:pt idx="73">
                  <c:v>15004.8427734375</c:v>
                </c:pt>
                <c:pt idx="74">
                  <c:v>9223.947265625</c:v>
                </c:pt>
                <c:pt idx="75">
                  <c:v>22199.203125</c:v>
                </c:pt>
                <c:pt idx="76">
                  <c:v>34931.2734375</c:v>
                </c:pt>
                <c:pt idx="77">
                  <c:v>43642.05859375</c:v>
                </c:pt>
                <c:pt idx="78">
                  <c:v>53843.390625</c:v>
                </c:pt>
                <c:pt idx="79">
                  <c:v>62386.9375</c:v>
                </c:pt>
                <c:pt idx="80">
                  <c:v>75462.5625</c:v>
                </c:pt>
                <c:pt idx="81">
                  <c:v>92947.953125</c:v>
                </c:pt>
                <c:pt idx="82">
                  <c:v>107892.6484375</c:v>
                </c:pt>
                <c:pt idx="83">
                  <c:v>131859.1875</c:v>
                </c:pt>
                <c:pt idx="84">
                  <c:v>153533.828125</c:v>
                </c:pt>
                <c:pt idx="85">
                  <c:v>164101.390625</c:v>
                </c:pt>
                <c:pt idx="86">
                  <c:v>165447.34375</c:v>
                </c:pt>
                <c:pt idx="87">
                  <c:v>164577.171875</c:v>
                </c:pt>
                <c:pt idx="88">
                  <c:v>166894.984375</c:v>
                </c:pt>
                <c:pt idx="89">
                  <c:v>166290.78125</c:v>
                </c:pt>
                <c:pt idx="90">
                  <c:v>158471.953125</c:v>
                </c:pt>
                <c:pt idx="91">
                  <c:v>149132.03125</c:v>
                </c:pt>
                <c:pt idx="92">
                  <c:v>130607.875</c:v>
                </c:pt>
                <c:pt idx="93">
                  <c:v>112816.3359375</c:v>
                </c:pt>
                <c:pt idx="94">
                  <c:v>85305.625</c:v>
                </c:pt>
                <c:pt idx="95">
                  <c:v>83412.875</c:v>
                </c:pt>
                <c:pt idx="96">
                  <c:v>78191.234375</c:v>
                </c:pt>
                <c:pt idx="97">
                  <c:v>70318.6796875</c:v>
                </c:pt>
                <c:pt idx="98">
                  <c:v>69802.5390625</c:v>
                </c:pt>
                <c:pt idx="99">
                  <c:v>64736.87109375</c:v>
                </c:pt>
                <c:pt idx="100">
                  <c:v>64084.703125</c:v>
                </c:pt>
                <c:pt idx="101">
                  <c:v>56672.31640625</c:v>
                </c:pt>
                <c:pt idx="102">
                  <c:v>55965.98046875</c:v>
                </c:pt>
                <c:pt idx="103">
                  <c:v>49447.8515625</c:v>
                </c:pt>
                <c:pt idx="104">
                  <c:v>50803.7578125</c:v>
                </c:pt>
                <c:pt idx="105">
                  <c:v>53056.0078125</c:v>
                </c:pt>
                <c:pt idx="106">
                  <c:v>49553.98046875</c:v>
                </c:pt>
                <c:pt idx="107">
                  <c:v>46999.1796875</c:v>
                </c:pt>
                <c:pt idx="108">
                  <c:v>44482.375</c:v>
                </c:pt>
                <c:pt idx="109">
                  <c:v>41759.44140625</c:v>
                </c:pt>
                <c:pt idx="110">
                  <c:v>40981.19921875</c:v>
                </c:pt>
                <c:pt idx="111">
                  <c:v>23543.6015625</c:v>
                </c:pt>
                <c:pt idx="112">
                  <c:v>20036.462890625</c:v>
                </c:pt>
                <c:pt idx="113">
                  <c:v>11873.8310546875</c:v>
                </c:pt>
                <c:pt idx="114">
                  <c:v>6228.01025390625</c:v>
                </c:pt>
                <c:pt idx="115">
                  <c:v>748.24169921875</c:v>
                </c:pt>
                <c:pt idx="116">
                  <c:v>-8814.8486328125</c:v>
                </c:pt>
                <c:pt idx="117">
                  <c:v>-11287.65625</c:v>
                </c:pt>
                <c:pt idx="118">
                  <c:v>-16281.2646484375</c:v>
                </c:pt>
                <c:pt idx="119">
                  <c:v>-15337.6923828125</c:v>
                </c:pt>
                <c:pt idx="120">
                  <c:v>-13816.45703125</c:v>
                </c:pt>
                <c:pt idx="121">
                  <c:v>-20850.7265625</c:v>
                </c:pt>
                <c:pt idx="122">
                  <c:v>-19918.427734375</c:v>
                </c:pt>
                <c:pt idx="123">
                  <c:v>-13446.3408203125</c:v>
                </c:pt>
                <c:pt idx="124">
                  <c:v>-14326.62890625</c:v>
                </c:pt>
                <c:pt idx="125">
                  <c:v>-15202.9150390625</c:v>
                </c:pt>
                <c:pt idx="126">
                  <c:v>-9943.2158203125</c:v>
                </c:pt>
                <c:pt idx="127">
                  <c:v>-604.19476318359295</c:v>
                </c:pt>
                <c:pt idx="128">
                  <c:v>614.19805908203102</c:v>
                </c:pt>
                <c:pt idx="129">
                  <c:v>12153.9208984375</c:v>
                </c:pt>
                <c:pt idx="130">
                  <c:v>11313.650390625</c:v>
                </c:pt>
                <c:pt idx="131">
                  <c:v>26168.42578125</c:v>
                </c:pt>
                <c:pt idx="132">
                  <c:v>40656.6171875</c:v>
                </c:pt>
                <c:pt idx="133">
                  <c:v>46042.86328125</c:v>
                </c:pt>
                <c:pt idx="134">
                  <c:v>42741.79296875</c:v>
                </c:pt>
                <c:pt idx="135">
                  <c:v>41531.421875</c:v>
                </c:pt>
                <c:pt idx="136">
                  <c:v>52238.86328125</c:v>
                </c:pt>
                <c:pt idx="137">
                  <c:v>50168.1796875</c:v>
                </c:pt>
                <c:pt idx="138">
                  <c:v>46322.94140625</c:v>
                </c:pt>
                <c:pt idx="139">
                  <c:v>41245.3671875</c:v>
                </c:pt>
                <c:pt idx="140">
                  <c:v>38173.69921875</c:v>
                </c:pt>
                <c:pt idx="141">
                  <c:v>36182.10546875</c:v>
                </c:pt>
                <c:pt idx="142">
                  <c:v>35561.48828125</c:v>
                </c:pt>
                <c:pt idx="143">
                  <c:v>30883.990234375</c:v>
                </c:pt>
                <c:pt idx="144">
                  <c:v>25186.138671875</c:v>
                </c:pt>
                <c:pt idx="145">
                  <c:v>22097.123046875</c:v>
                </c:pt>
                <c:pt idx="146">
                  <c:v>23795.67578125</c:v>
                </c:pt>
                <c:pt idx="147">
                  <c:v>22623.30078125</c:v>
                </c:pt>
                <c:pt idx="148">
                  <c:v>20524.615234375</c:v>
                </c:pt>
                <c:pt idx="149">
                  <c:v>19236.21875</c:v>
                </c:pt>
                <c:pt idx="150">
                  <c:v>20116.494140625</c:v>
                </c:pt>
                <c:pt idx="151">
                  <c:v>19858.384765625</c:v>
                </c:pt>
                <c:pt idx="152">
                  <c:v>20745.884765625</c:v>
                </c:pt>
                <c:pt idx="153">
                  <c:v>19126.16796875</c:v>
                </c:pt>
                <c:pt idx="154">
                  <c:v>21837.044921875</c:v>
                </c:pt>
                <c:pt idx="155">
                  <c:v>20712.68359375</c:v>
                </c:pt>
                <c:pt idx="156">
                  <c:v>28863.3046875</c:v>
                </c:pt>
                <c:pt idx="157">
                  <c:v>31120.0625</c:v>
                </c:pt>
                <c:pt idx="158">
                  <c:v>31864.28515625</c:v>
                </c:pt>
                <c:pt idx="159">
                  <c:v>27574.8984375</c:v>
                </c:pt>
                <c:pt idx="160">
                  <c:v>30649.47265625</c:v>
                </c:pt>
                <c:pt idx="161">
                  <c:v>22790.580078125</c:v>
                </c:pt>
                <c:pt idx="162">
                  <c:v>20454.619140625</c:v>
                </c:pt>
                <c:pt idx="163">
                  <c:v>13814.9755859375</c:v>
                </c:pt>
                <c:pt idx="164">
                  <c:v>7614.45458984375</c:v>
                </c:pt>
                <c:pt idx="165">
                  <c:v>12510.037109375</c:v>
                </c:pt>
                <c:pt idx="166">
                  <c:v>8214.650390625</c:v>
                </c:pt>
                <c:pt idx="167">
                  <c:v>4579.47802734375</c:v>
                </c:pt>
                <c:pt idx="168">
                  <c:v>-1086.35070800781</c:v>
                </c:pt>
                <c:pt idx="169">
                  <c:v>6656.1494140625</c:v>
                </c:pt>
                <c:pt idx="170">
                  <c:v>8696.80859375</c:v>
                </c:pt>
                <c:pt idx="171">
                  <c:v>9055.9443359375</c:v>
                </c:pt>
                <c:pt idx="172">
                  <c:v>-331.473876953125</c:v>
                </c:pt>
                <c:pt idx="173">
                  <c:v>-1486.47937011718</c:v>
                </c:pt>
                <c:pt idx="174">
                  <c:v>-718.23150634765602</c:v>
                </c:pt>
                <c:pt idx="175">
                  <c:v>446.14401245117102</c:v>
                </c:pt>
                <c:pt idx="176">
                  <c:v>1112.35913085937</c:v>
                </c:pt>
                <c:pt idx="177">
                  <c:v>10003.2294921875</c:v>
                </c:pt>
                <c:pt idx="178">
                  <c:v>16599.892578125</c:v>
                </c:pt>
                <c:pt idx="179">
                  <c:v>27712.96875</c:v>
                </c:pt>
                <c:pt idx="180">
                  <c:v>36247.71484375</c:v>
                </c:pt>
                <c:pt idx="181">
                  <c:v>37326.0703125</c:v>
                </c:pt>
                <c:pt idx="182">
                  <c:v>40238.36328125</c:v>
                </c:pt>
                <c:pt idx="183">
                  <c:v>45358.65234375</c:v>
                </c:pt>
                <c:pt idx="184">
                  <c:v>45038.52734375</c:v>
                </c:pt>
                <c:pt idx="185">
                  <c:v>47017.61328125</c:v>
                </c:pt>
                <c:pt idx="186">
                  <c:v>45187.140625</c:v>
                </c:pt>
                <c:pt idx="187">
                  <c:v>44950.55859375</c:v>
                </c:pt>
                <c:pt idx="188">
                  <c:v>42493.72265625</c:v>
                </c:pt>
                <c:pt idx="189">
                  <c:v>44304.3125</c:v>
                </c:pt>
                <c:pt idx="190">
                  <c:v>30727.931640625</c:v>
                </c:pt>
                <c:pt idx="191">
                  <c:v>31226.8984375</c:v>
                </c:pt>
                <c:pt idx="192">
                  <c:v>26024.38671875</c:v>
                </c:pt>
                <c:pt idx="193">
                  <c:v>24539.908203125</c:v>
                </c:pt>
                <c:pt idx="194">
                  <c:v>24223.802734375</c:v>
                </c:pt>
                <c:pt idx="195">
                  <c:v>22049.126953125</c:v>
                </c:pt>
                <c:pt idx="196">
                  <c:v>20392.58203125</c:v>
                </c:pt>
                <c:pt idx="197">
                  <c:v>20430.5625</c:v>
                </c:pt>
                <c:pt idx="198">
                  <c:v>21541.841796875</c:v>
                </c:pt>
                <c:pt idx="199">
                  <c:v>23559.61328125</c:v>
                </c:pt>
                <c:pt idx="200">
                  <c:v>23789.20703125</c:v>
                </c:pt>
                <c:pt idx="201">
                  <c:v>21849.044921875</c:v>
                </c:pt>
                <c:pt idx="202">
                  <c:v>23137.470703125</c:v>
                </c:pt>
                <c:pt idx="203">
                  <c:v>22955.400390625</c:v>
                </c:pt>
                <c:pt idx="204">
                  <c:v>26878.693359375</c:v>
                </c:pt>
                <c:pt idx="205">
                  <c:v>27832.9609375</c:v>
                </c:pt>
                <c:pt idx="206">
                  <c:v>23619.615234375</c:v>
                </c:pt>
                <c:pt idx="207">
                  <c:v>21938.48046875</c:v>
                </c:pt>
                <c:pt idx="208">
                  <c:v>13357.5068359375</c:v>
                </c:pt>
                <c:pt idx="209">
                  <c:v>5648.63525390625</c:v>
                </c:pt>
                <c:pt idx="210">
                  <c:v>-4302.47607421875</c:v>
                </c:pt>
                <c:pt idx="211">
                  <c:v>-17875.9609375</c:v>
                </c:pt>
                <c:pt idx="212">
                  <c:v>-27925.072265625</c:v>
                </c:pt>
                <c:pt idx="213">
                  <c:v>-33968.93359375</c:v>
                </c:pt>
                <c:pt idx="214">
                  <c:v>-26178.4453125</c:v>
                </c:pt>
                <c:pt idx="215">
                  <c:v>-29561.537109375</c:v>
                </c:pt>
                <c:pt idx="216">
                  <c:v>-12982.1953125</c:v>
                </c:pt>
                <c:pt idx="217">
                  <c:v>-23975.744140625</c:v>
                </c:pt>
                <c:pt idx="218">
                  <c:v>-18742.060546875</c:v>
                </c:pt>
                <c:pt idx="219">
                  <c:v>-20994.779296875</c:v>
                </c:pt>
                <c:pt idx="220">
                  <c:v>-8744.8232421875</c:v>
                </c:pt>
                <c:pt idx="221">
                  <c:v>5417.74755859375</c:v>
                </c:pt>
                <c:pt idx="222">
                  <c:v>11353.6669921875</c:v>
                </c:pt>
                <c:pt idx="223">
                  <c:v>7188.3173828125</c:v>
                </c:pt>
                <c:pt idx="224">
                  <c:v>7306.36083984375</c:v>
                </c:pt>
                <c:pt idx="225">
                  <c:v>24347.876953125</c:v>
                </c:pt>
                <c:pt idx="226">
                  <c:v>34781.26171875</c:v>
                </c:pt>
                <c:pt idx="227">
                  <c:v>55691.96875</c:v>
                </c:pt>
                <c:pt idx="228">
                  <c:v>66721.5546875</c:v>
                </c:pt>
                <c:pt idx="229">
                  <c:v>78713.4765625</c:v>
                </c:pt>
                <c:pt idx="230">
                  <c:v>80720.03125</c:v>
                </c:pt>
                <c:pt idx="231">
                  <c:v>82348.578125</c:v>
                </c:pt>
                <c:pt idx="232">
                  <c:v>84261.234375</c:v>
                </c:pt>
                <c:pt idx="233">
                  <c:v>91611.625</c:v>
                </c:pt>
                <c:pt idx="234">
                  <c:v>81794.4453125</c:v>
                </c:pt>
                <c:pt idx="235">
                  <c:v>78067.2890625</c:v>
                </c:pt>
                <c:pt idx="236">
                  <c:v>70878.859375</c:v>
                </c:pt>
                <c:pt idx="237">
                  <c:v>78211.640625</c:v>
                </c:pt>
                <c:pt idx="238">
                  <c:v>69918.390625</c:v>
                </c:pt>
                <c:pt idx="239">
                  <c:v>63778.43359375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D0B-4AFC-BC15-B70EA5910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249407"/>
        <c:axId val="453944623"/>
      </c:lineChart>
      <c:catAx>
        <c:axId val="170249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Step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944623"/>
        <c:crosses val="autoZero"/>
        <c:auto val="1"/>
        <c:lblAlgn val="ctr"/>
        <c:lblOffset val="100"/>
        <c:noMultiLvlLbl val="0"/>
      </c:catAx>
      <c:valAx>
        <c:axId val="45394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Active power 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4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Node</a:t>
            </a:r>
            <a:r>
              <a:rPr lang="en-AU" baseline="0"/>
              <a:t> phase power vs time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measured_powers!$V$252</c:f>
              <c:strCache>
                <c:ptCount val="1"/>
                <c:pt idx="0">
                  <c:v>p_634_A_W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measured_powers!$U$253:$U$492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measured_powers!$V$253:$V$492</c:f>
              <c:numCache>
                <c:formatCode>General</c:formatCode>
                <c:ptCount val="240"/>
                <c:pt idx="0">
                  <c:v>46313.484375</c:v>
                </c:pt>
                <c:pt idx="1">
                  <c:v>41062.359375</c:v>
                </c:pt>
                <c:pt idx="2">
                  <c:v>36163.59765625</c:v>
                </c:pt>
                <c:pt idx="3">
                  <c:v>32887.44921875</c:v>
                </c:pt>
                <c:pt idx="4">
                  <c:v>29002.380859375</c:v>
                </c:pt>
                <c:pt idx="5">
                  <c:v>29065.9921875</c:v>
                </c:pt>
                <c:pt idx="6">
                  <c:v>29000.189453125</c:v>
                </c:pt>
                <c:pt idx="7">
                  <c:v>28712.646484375</c:v>
                </c:pt>
                <c:pt idx="8">
                  <c:v>28250.802734375</c:v>
                </c:pt>
                <c:pt idx="9">
                  <c:v>29517.4765625</c:v>
                </c:pt>
                <c:pt idx="10">
                  <c:v>35168.859375</c:v>
                </c:pt>
                <c:pt idx="11">
                  <c:v>34082.75</c:v>
                </c:pt>
                <c:pt idx="12">
                  <c:v>32006.005859375</c:v>
                </c:pt>
                <c:pt idx="13">
                  <c:v>33994.6796875</c:v>
                </c:pt>
                <c:pt idx="14">
                  <c:v>28068.2421875</c:v>
                </c:pt>
                <c:pt idx="15">
                  <c:v>23867.591796875</c:v>
                </c:pt>
                <c:pt idx="16">
                  <c:v>18449.74609375</c:v>
                </c:pt>
                <c:pt idx="17">
                  <c:v>19219.44921875</c:v>
                </c:pt>
                <c:pt idx="18">
                  <c:v>5219.1953125</c:v>
                </c:pt>
                <c:pt idx="19">
                  <c:v>-962.25604248046795</c:v>
                </c:pt>
                <c:pt idx="20">
                  <c:v>-13497.1962890625</c:v>
                </c:pt>
                <c:pt idx="21">
                  <c:v>-24233.53515625</c:v>
                </c:pt>
                <c:pt idx="22">
                  <c:v>-30167.232421875</c:v>
                </c:pt>
                <c:pt idx="23">
                  <c:v>-30742.009765625</c:v>
                </c:pt>
                <c:pt idx="24">
                  <c:v>-32168.4375</c:v>
                </c:pt>
                <c:pt idx="25">
                  <c:v>-35446.90234375</c:v>
                </c:pt>
                <c:pt idx="26">
                  <c:v>-38843.12109375</c:v>
                </c:pt>
                <c:pt idx="27">
                  <c:v>-33614.38671875</c:v>
                </c:pt>
                <c:pt idx="28">
                  <c:v>-25840.060546875</c:v>
                </c:pt>
                <c:pt idx="29">
                  <c:v>-22668.732421875</c:v>
                </c:pt>
                <c:pt idx="30">
                  <c:v>-19440.59375</c:v>
                </c:pt>
                <c:pt idx="31">
                  <c:v>-13430.8291015625</c:v>
                </c:pt>
                <c:pt idx="32">
                  <c:v>-4384.62255859375</c:v>
                </c:pt>
                <c:pt idx="33">
                  <c:v>2131.76000976562</c:v>
                </c:pt>
                <c:pt idx="34">
                  <c:v>17811.6640625</c:v>
                </c:pt>
                <c:pt idx="35">
                  <c:v>38151.703125</c:v>
                </c:pt>
                <c:pt idx="36">
                  <c:v>49332.26953125</c:v>
                </c:pt>
                <c:pt idx="37">
                  <c:v>68534.3671875</c:v>
                </c:pt>
                <c:pt idx="38">
                  <c:v>67550.640625</c:v>
                </c:pt>
                <c:pt idx="39">
                  <c:v>62459.68359375</c:v>
                </c:pt>
                <c:pt idx="40">
                  <c:v>67913.515625</c:v>
                </c:pt>
                <c:pt idx="41">
                  <c:v>73027.5390625</c:v>
                </c:pt>
                <c:pt idx="42">
                  <c:v>69277.40625</c:v>
                </c:pt>
                <c:pt idx="43">
                  <c:v>83099.0546875</c:v>
                </c:pt>
                <c:pt idx="44">
                  <c:v>74450.640625</c:v>
                </c:pt>
                <c:pt idx="45">
                  <c:v>61016.421875</c:v>
                </c:pt>
                <c:pt idx="46">
                  <c:v>49661.7421875</c:v>
                </c:pt>
                <c:pt idx="47">
                  <c:v>44382.77734375</c:v>
                </c:pt>
                <c:pt idx="48">
                  <c:v>47060.5390625</c:v>
                </c:pt>
                <c:pt idx="49">
                  <c:v>44244.55078125</c:v>
                </c:pt>
                <c:pt idx="50">
                  <c:v>37429.90625</c:v>
                </c:pt>
                <c:pt idx="51">
                  <c:v>34307.96875</c:v>
                </c:pt>
                <c:pt idx="52">
                  <c:v>34475.50390625</c:v>
                </c:pt>
                <c:pt idx="53">
                  <c:v>32897.29296875</c:v>
                </c:pt>
                <c:pt idx="54">
                  <c:v>33542.0390625</c:v>
                </c:pt>
                <c:pt idx="55">
                  <c:v>37402.078125</c:v>
                </c:pt>
                <c:pt idx="56">
                  <c:v>37075.89453125</c:v>
                </c:pt>
                <c:pt idx="57">
                  <c:v>38158.0546875</c:v>
                </c:pt>
                <c:pt idx="58">
                  <c:v>36710.78125</c:v>
                </c:pt>
                <c:pt idx="59">
                  <c:v>41361.9375</c:v>
                </c:pt>
                <c:pt idx="60">
                  <c:v>37148.921875</c:v>
                </c:pt>
                <c:pt idx="61">
                  <c:v>35009.875</c:v>
                </c:pt>
                <c:pt idx="62">
                  <c:v>33131.96484375</c:v>
                </c:pt>
                <c:pt idx="63">
                  <c:v>24985.841796875</c:v>
                </c:pt>
                <c:pt idx="64">
                  <c:v>25324.00390625</c:v>
                </c:pt>
                <c:pt idx="65">
                  <c:v>14868.6640625</c:v>
                </c:pt>
                <c:pt idx="66">
                  <c:v>8366.9052734375</c:v>
                </c:pt>
                <c:pt idx="67">
                  <c:v>-438.21224975585898</c:v>
                </c:pt>
                <c:pt idx="68">
                  <c:v>18656.033203125</c:v>
                </c:pt>
                <c:pt idx="69">
                  <c:v>18562.537109375</c:v>
                </c:pt>
                <c:pt idx="70">
                  <c:v>23301.71875</c:v>
                </c:pt>
                <c:pt idx="71">
                  <c:v>24070.7578125</c:v>
                </c:pt>
                <c:pt idx="72">
                  <c:v>26081.599609375</c:v>
                </c:pt>
                <c:pt idx="73">
                  <c:v>28708.873046875</c:v>
                </c:pt>
                <c:pt idx="74">
                  <c:v>28271.013671875</c:v>
                </c:pt>
                <c:pt idx="75">
                  <c:v>38276.90234375</c:v>
                </c:pt>
                <c:pt idx="76">
                  <c:v>52582.16015625</c:v>
                </c:pt>
                <c:pt idx="77">
                  <c:v>76095.59375</c:v>
                </c:pt>
                <c:pt idx="78">
                  <c:v>69684.1484375</c:v>
                </c:pt>
                <c:pt idx="79">
                  <c:v>77797.9140625</c:v>
                </c:pt>
                <c:pt idx="80">
                  <c:v>90581.8984375</c:v>
                </c:pt>
                <c:pt idx="81">
                  <c:v>107212.5625</c:v>
                </c:pt>
                <c:pt idx="82">
                  <c:v>122875.5546875</c:v>
                </c:pt>
                <c:pt idx="83">
                  <c:v>132201.875</c:v>
                </c:pt>
                <c:pt idx="84">
                  <c:v>147024.046875</c:v>
                </c:pt>
                <c:pt idx="85">
                  <c:v>148009.390625</c:v>
                </c:pt>
                <c:pt idx="86">
                  <c:v>160009.03125</c:v>
                </c:pt>
                <c:pt idx="87">
                  <c:v>163114.09375</c:v>
                </c:pt>
                <c:pt idx="88">
                  <c:v>163778.109375</c:v>
                </c:pt>
                <c:pt idx="89">
                  <c:v>166269.015625</c:v>
                </c:pt>
                <c:pt idx="90">
                  <c:v>162067.328125</c:v>
                </c:pt>
                <c:pt idx="91">
                  <c:v>159965.5</c:v>
                </c:pt>
                <c:pt idx="92">
                  <c:v>141403.734375</c:v>
                </c:pt>
                <c:pt idx="93">
                  <c:v>128246.2109375</c:v>
                </c:pt>
                <c:pt idx="94">
                  <c:v>94507.984375</c:v>
                </c:pt>
                <c:pt idx="95">
                  <c:v>96668.359375</c:v>
                </c:pt>
                <c:pt idx="96">
                  <c:v>85643.4453125</c:v>
                </c:pt>
                <c:pt idx="97">
                  <c:v>86940.75</c:v>
                </c:pt>
                <c:pt idx="98">
                  <c:v>81958.765625</c:v>
                </c:pt>
                <c:pt idx="99">
                  <c:v>72225.5390625</c:v>
                </c:pt>
                <c:pt idx="100">
                  <c:v>70005.75</c:v>
                </c:pt>
                <c:pt idx="101">
                  <c:v>64794.8984375</c:v>
                </c:pt>
                <c:pt idx="102">
                  <c:v>61271.2890625</c:v>
                </c:pt>
                <c:pt idx="103">
                  <c:v>61292.95703125</c:v>
                </c:pt>
                <c:pt idx="104">
                  <c:v>58210.78515625</c:v>
                </c:pt>
                <c:pt idx="105">
                  <c:v>59040.42578125</c:v>
                </c:pt>
                <c:pt idx="106">
                  <c:v>56540.203125</c:v>
                </c:pt>
                <c:pt idx="107">
                  <c:v>51026.74609375</c:v>
                </c:pt>
                <c:pt idx="108">
                  <c:v>47498.890625</c:v>
                </c:pt>
                <c:pt idx="109">
                  <c:v>51627.859375</c:v>
                </c:pt>
                <c:pt idx="110">
                  <c:v>41042.796875</c:v>
                </c:pt>
                <c:pt idx="111">
                  <c:v>29002.171875</c:v>
                </c:pt>
                <c:pt idx="112">
                  <c:v>27488.4921875</c:v>
                </c:pt>
                <c:pt idx="113">
                  <c:v>25491.015625</c:v>
                </c:pt>
                <c:pt idx="114">
                  <c:v>19235.458984375</c:v>
                </c:pt>
                <c:pt idx="115">
                  <c:v>11018.50390625</c:v>
                </c:pt>
                <c:pt idx="116">
                  <c:v>11281.7080078125</c:v>
                </c:pt>
                <c:pt idx="117">
                  <c:v>2838.73803710937</c:v>
                </c:pt>
                <c:pt idx="118">
                  <c:v>-1817.24230957031</c:v>
                </c:pt>
                <c:pt idx="119">
                  <c:v>-2589.03979492187</c:v>
                </c:pt>
                <c:pt idx="120">
                  <c:v>-5833.40576171875</c:v>
                </c:pt>
                <c:pt idx="121">
                  <c:v>-11236.3837890625</c:v>
                </c:pt>
                <c:pt idx="122">
                  <c:v>-15724.4013671875</c:v>
                </c:pt>
                <c:pt idx="123">
                  <c:v>-7494.1376953125</c:v>
                </c:pt>
                <c:pt idx="124">
                  <c:v>-12755.4375</c:v>
                </c:pt>
                <c:pt idx="125">
                  <c:v>-11925.412109375</c:v>
                </c:pt>
                <c:pt idx="126">
                  <c:v>-11389.537109375</c:v>
                </c:pt>
                <c:pt idx="127">
                  <c:v>307.84506225585898</c:v>
                </c:pt>
                <c:pt idx="128">
                  <c:v>8715.623046875</c:v>
                </c:pt>
                <c:pt idx="129">
                  <c:v>11517.6396484375</c:v>
                </c:pt>
                <c:pt idx="130">
                  <c:v>23509.357421875</c:v>
                </c:pt>
                <c:pt idx="131">
                  <c:v>36337.94921875</c:v>
                </c:pt>
                <c:pt idx="132">
                  <c:v>50734.6484375</c:v>
                </c:pt>
                <c:pt idx="133">
                  <c:v>56459.3203125</c:v>
                </c:pt>
                <c:pt idx="134">
                  <c:v>58027.07421875</c:v>
                </c:pt>
                <c:pt idx="135">
                  <c:v>51874.3125</c:v>
                </c:pt>
                <c:pt idx="136">
                  <c:v>51690.65234375</c:v>
                </c:pt>
                <c:pt idx="137">
                  <c:v>52710.33203125</c:v>
                </c:pt>
                <c:pt idx="138">
                  <c:v>53038.92578125</c:v>
                </c:pt>
                <c:pt idx="139">
                  <c:v>45876.59765625</c:v>
                </c:pt>
                <c:pt idx="140">
                  <c:v>49915.96484375</c:v>
                </c:pt>
                <c:pt idx="141">
                  <c:v>46657.66015625</c:v>
                </c:pt>
                <c:pt idx="142">
                  <c:v>38091.734375</c:v>
                </c:pt>
                <c:pt idx="143">
                  <c:v>34970.2734375</c:v>
                </c:pt>
                <c:pt idx="144">
                  <c:v>36845.21875</c:v>
                </c:pt>
                <c:pt idx="145">
                  <c:v>37628.65234375</c:v>
                </c:pt>
                <c:pt idx="146">
                  <c:v>29917.634765625</c:v>
                </c:pt>
                <c:pt idx="147">
                  <c:v>29359.392578125</c:v>
                </c:pt>
                <c:pt idx="148">
                  <c:v>28427.966796875</c:v>
                </c:pt>
                <c:pt idx="149">
                  <c:v>26948.193359375</c:v>
                </c:pt>
                <c:pt idx="150">
                  <c:v>25076.279296875</c:v>
                </c:pt>
                <c:pt idx="151">
                  <c:v>25482.060546875</c:v>
                </c:pt>
                <c:pt idx="152">
                  <c:v>24618.1484375</c:v>
                </c:pt>
                <c:pt idx="153">
                  <c:v>24121.2265625</c:v>
                </c:pt>
                <c:pt idx="154">
                  <c:v>29340.818359375</c:v>
                </c:pt>
                <c:pt idx="155">
                  <c:v>31230.5703125</c:v>
                </c:pt>
                <c:pt idx="156">
                  <c:v>32346.625</c:v>
                </c:pt>
                <c:pt idx="157">
                  <c:v>33987.66015625</c:v>
                </c:pt>
                <c:pt idx="158">
                  <c:v>31985.943359375</c:v>
                </c:pt>
                <c:pt idx="159">
                  <c:v>29022.333984375</c:v>
                </c:pt>
                <c:pt idx="160">
                  <c:v>25171.873046875</c:v>
                </c:pt>
                <c:pt idx="161">
                  <c:v>23710.810546875</c:v>
                </c:pt>
                <c:pt idx="162">
                  <c:v>28752.904296875</c:v>
                </c:pt>
                <c:pt idx="163">
                  <c:v>25496.8125</c:v>
                </c:pt>
                <c:pt idx="164">
                  <c:v>18196.150390625</c:v>
                </c:pt>
                <c:pt idx="165">
                  <c:v>10637.857421875</c:v>
                </c:pt>
                <c:pt idx="166">
                  <c:v>4653.6552734375</c:v>
                </c:pt>
                <c:pt idx="167">
                  <c:v>3733.568359375</c:v>
                </c:pt>
                <c:pt idx="168">
                  <c:v>-3531.13012695312</c:v>
                </c:pt>
                <c:pt idx="169">
                  <c:v>-635.74871826171795</c:v>
                </c:pt>
                <c:pt idx="170">
                  <c:v>1196.255859375</c:v>
                </c:pt>
                <c:pt idx="171">
                  <c:v>6643.595703125</c:v>
                </c:pt>
                <c:pt idx="172">
                  <c:v>2403.59252929687</c:v>
                </c:pt>
                <c:pt idx="173">
                  <c:v>218.11122131347599</c:v>
                </c:pt>
                <c:pt idx="174">
                  <c:v>-2143.11694335937</c:v>
                </c:pt>
                <c:pt idx="175">
                  <c:v>1510.12194824218</c:v>
                </c:pt>
                <c:pt idx="176">
                  <c:v>6241.94140625</c:v>
                </c:pt>
                <c:pt idx="177">
                  <c:v>8815.435546875</c:v>
                </c:pt>
                <c:pt idx="178">
                  <c:v>16446.017578125</c:v>
                </c:pt>
                <c:pt idx="179">
                  <c:v>33275.87109375</c:v>
                </c:pt>
                <c:pt idx="180">
                  <c:v>37220.13671875</c:v>
                </c:pt>
                <c:pt idx="181">
                  <c:v>38713.19140625</c:v>
                </c:pt>
                <c:pt idx="182">
                  <c:v>49337.73828125</c:v>
                </c:pt>
                <c:pt idx="183">
                  <c:v>55847.71484375</c:v>
                </c:pt>
                <c:pt idx="184">
                  <c:v>58797.59375</c:v>
                </c:pt>
                <c:pt idx="185">
                  <c:v>56619.1328125</c:v>
                </c:pt>
                <c:pt idx="186">
                  <c:v>53387.703125</c:v>
                </c:pt>
                <c:pt idx="187">
                  <c:v>48937.0703125</c:v>
                </c:pt>
                <c:pt idx="188">
                  <c:v>48905.5078125</c:v>
                </c:pt>
                <c:pt idx="189">
                  <c:v>47110.46875</c:v>
                </c:pt>
                <c:pt idx="190">
                  <c:v>39873.52734375</c:v>
                </c:pt>
                <c:pt idx="191">
                  <c:v>36106.62109375</c:v>
                </c:pt>
                <c:pt idx="192">
                  <c:v>38366.3671875</c:v>
                </c:pt>
                <c:pt idx="193">
                  <c:v>38760.28125</c:v>
                </c:pt>
                <c:pt idx="194">
                  <c:v>35173.54296875</c:v>
                </c:pt>
                <c:pt idx="195">
                  <c:v>32086.619140625</c:v>
                </c:pt>
                <c:pt idx="196">
                  <c:v>26544.2421875</c:v>
                </c:pt>
                <c:pt idx="197">
                  <c:v>26164.04296875</c:v>
                </c:pt>
                <c:pt idx="198">
                  <c:v>27498.84375</c:v>
                </c:pt>
                <c:pt idx="199">
                  <c:v>25282.923828125</c:v>
                </c:pt>
                <c:pt idx="200">
                  <c:v>24503.82421875</c:v>
                </c:pt>
                <c:pt idx="201">
                  <c:v>25395.12890625</c:v>
                </c:pt>
                <c:pt idx="202">
                  <c:v>29493.216796875</c:v>
                </c:pt>
                <c:pt idx="203">
                  <c:v>33202.2421875</c:v>
                </c:pt>
                <c:pt idx="204">
                  <c:v>33882.078125</c:v>
                </c:pt>
                <c:pt idx="205">
                  <c:v>32422.931640625</c:v>
                </c:pt>
                <c:pt idx="206">
                  <c:v>27295.544921875</c:v>
                </c:pt>
                <c:pt idx="207">
                  <c:v>22270.046875</c:v>
                </c:pt>
                <c:pt idx="208">
                  <c:v>14633.19921875</c:v>
                </c:pt>
                <c:pt idx="209">
                  <c:v>10064.7412109375</c:v>
                </c:pt>
                <c:pt idx="210">
                  <c:v>3352.80859375</c:v>
                </c:pt>
                <c:pt idx="211">
                  <c:v>-11137.7939453125</c:v>
                </c:pt>
                <c:pt idx="212">
                  <c:v>-21798.60546875</c:v>
                </c:pt>
                <c:pt idx="213">
                  <c:v>-29398.701171875</c:v>
                </c:pt>
                <c:pt idx="214">
                  <c:v>-23802.330078125</c:v>
                </c:pt>
                <c:pt idx="215">
                  <c:v>-20333.033203125</c:v>
                </c:pt>
                <c:pt idx="216">
                  <c:v>-18373.86328125</c:v>
                </c:pt>
                <c:pt idx="217">
                  <c:v>-20486.390625</c:v>
                </c:pt>
                <c:pt idx="218">
                  <c:v>-24092.865234375</c:v>
                </c:pt>
                <c:pt idx="219">
                  <c:v>-18839.294921875</c:v>
                </c:pt>
                <c:pt idx="220">
                  <c:v>-4001.03686523437</c:v>
                </c:pt>
                <c:pt idx="221">
                  <c:v>-6157.2744140625</c:v>
                </c:pt>
                <c:pt idx="222">
                  <c:v>6200.52001953125</c:v>
                </c:pt>
                <c:pt idx="223">
                  <c:v>8155.70068359375</c:v>
                </c:pt>
                <c:pt idx="224">
                  <c:v>4868.92626953125</c:v>
                </c:pt>
                <c:pt idx="225">
                  <c:v>32253.78125</c:v>
                </c:pt>
                <c:pt idx="226">
                  <c:v>47855.8359375</c:v>
                </c:pt>
                <c:pt idx="227">
                  <c:v>57594.78515625</c:v>
                </c:pt>
                <c:pt idx="228">
                  <c:v>72411.4140625</c:v>
                </c:pt>
                <c:pt idx="229">
                  <c:v>88218.7734375</c:v>
                </c:pt>
                <c:pt idx="230">
                  <c:v>102707.21875</c:v>
                </c:pt>
                <c:pt idx="231">
                  <c:v>108137.671875</c:v>
                </c:pt>
                <c:pt idx="232">
                  <c:v>115809.3515625</c:v>
                </c:pt>
                <c:pt idx="233">
                  <c:v>124863.9375</c:v>
                </c:pt>
                <c:pt idx="234">
                  <c:v>104730.8359375</c:v>
                </c:pt>
                <c:pt idx="235">
                  <c:v>90773.4140625</c:v>
                </c:pt>
                <c:pt idx="236">
                  <c:v>84504.640625</c:v>
                </c:pt>
                <c:pt idx="237">
                  <c:v>73244.9375</c:v>
                </c:pt>
                <c:pt idx="238">
                  <c:v>73903.71875</c:v>
                </c:pt>
                <c:pt idx="239">
                  <c:v>69625.7890625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6C-496D-8852-15F8A0AD9B71}"/>
            </c:ext>
          </c:extLst>
        </c:ser>
        <c:ser>
          <c:idx val="1"/>
          <c:order val="1"/>
          <c:tx>
            <c:strRef>
              <c:f>measured_powers!$W$252</c:f>
              <c:strCache>
                <c:ptCount val="1"/>
                <c:pt idx="0">
                  <c:v>p_634_B_W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measured_powers!$U$253:$U$492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measured_powers!$W$253:$W$492</c:f>
              <c:numCache>
                <c:formatCode>General</c:formatCode>
                <c:ptCount val="240"/>
                <c:pt idx="0">
                  <c:v>24061.875</c:v>
                </c:pt>
                <c:pt idx="1">
                  <c:v>21070.326171875</c:v>
                </c:pt>
                <c:pt idx="2">
                  <c:v>16906.9296875</c:v>
                </c:pt>
                <c:pt idx="3">
                  <c:v>17639.46484375</c:v>
                </c:pt>
                <c:pt idx="4">
                  <c:v>12844.52734375</c:v>
                </c:pt>
                <c:pt idx="5">
                  <c:v>13685.478515625</c:v>
                </c:pt>
                <c:pt idx="6">
                  <c:v>12618.8525390625</c:v>
                </c:pt>
                <c:pt idx="7">
                  <c:v>13397.4228515625</c:v>
                </c:pt>
                <c:pt idx="8">
                  <c:v>13284.2763671875</c:v>
                </c:pt>
                <c:pt idx="9">
                  <c:v>14527.3642578125</c:v>
                </c:pt>
                <c:pt idx="10">
                  <c:v>17236.58984375</c:v>
                </c:pt>
                <c:pt idx="11">
                  <c:v>20626.2421875</c:v>
                </c:pt>
                <c:pt idx="12">
                  <c:v>20589.248046875</c:v>
                </c:pt>
                <c:pt idx="13">
                  <c:v>20078.162109375</c:v>
                </c:pt>
                <c:pt idx="14">
                  <c:v>18130.943359375</c:v>
                </c:pt>
                <c:pt idx="15">
                  <c:v>13104.861328125</c:v>
                </c:pt>
                <c:pt idx="16">
                  <c:v>9822.8447265625</c:v>
                </c:pt>
                <c:pt idx="17">
                  <c:v>10162.3720703125</c:v>
                </c:pt>
                <c:pt idx="18">
                  <c:v>1091.21801757812</c:v>
                </c:pt>
                <c:pt idx="19">
                  <c:v>-5909.724609375</c:v>
                </c:pt>
                <c:pt idx="20">
                  <c:v>-6593.23388671875</c:v>
                </c:pt>
                <c:pt idx="21">
                  <c:v>-8322.779296875</c:v>
                </c:pt>
                <c:pt idx="22">
                  <c:v>-14358.884765625</c:v>
                </c:pt>
                <c:pt idx="23">
                  <c:v>-14412.7109375</c:v>
                </c:pt>
                <c:pt idx="24">
                  <c:v>-16456.05859375</c:v>
                </c:pt>
                <c:pt idx="25">
                  <c:v>-14544.5615234375</c:v>
                </c:pt>
                <c:pt idx="26">
                  <c:v>-16135.2607421875</c:v>
                </c:pt>
                <c:pt idx="27">
                  <c:v>-19971.00390625</c:v>
                </c:pt>
                <c:pt idx="28">
                  <c:v>-21636.98828125</c:v>
                </c:pt>
                <c:pt idx="29">
                  <c:v>-19391.962890625</c:v>
                </c:pt>
                <c:pt idx="30">
                  <c:v>-12089.2802734375</c:v>
                </c:pt>
                <c:pt idx="31">
                  <c:v>-2302.60400390625</c:v>
                </c:pt>
                <c:pt idx="32">
                  <c:v>8017.62109375</c:v>
                </c:pt>
                <c:pt idx="33">
                  <c:v>19766.1484375</c:v>
                </c:pt>
                <c:pt idx="34">
                  <c:v>31591.451171875</c:v>
                </c:pt>
                <c:pt idx="35">
                  <c:v>41113.49609375</c:v>
                </c:pt>
                <c:pt idx="36">
                  <c:v>45574.859375</c:v>
                </c:pt>
                <c:pt idx="37">
                  <c:v>41938.30078125</c:v>
                </c:pt>
                <c:pt idx="38">
                  <c:v>40313.37890625</c:v>
                </c:pt>
                <c:pt idx="39">
                  <c:v>44248.85546875</c:v>
                </c:pt>
                <c:pt idx="40">
                  <c:v>47861.02734375</c:v>
                </c:pt>
                <c:pt idx="41">
                  <c:v>52568.421875</c:v>
                </c:pt>
                <c:pt idx="42">
                  <c:v>49031.453125</c:v>
                </c:pt>
                <c:pt idx="43">
                  <c:v>43836.2890625</c:v>
                </c:pt>
                <c:pt idx="44">
                  <c:v>43728.03125</c:v>
                </c:pt>
                <c:pt idx="45">
                  <c:v>34720.90234375</c:v>
                </c:pt>
                <c:pt idx="46">
                  <c:v>34372.21875</c:v>
                </c:pt>
                <c:pt idx="47">
                  <c:v>30344.947265625</c:v>
                </c:pt>
                <c:pt idx="48">
                  <c:v>27296.84375</c:v>
                </c:pt>
                <c:pt idx="49">
                  <c:v>22218.744140625</c:v>
                </c:pt>
                <c:pt idx="50">
                  <c:v>16422.611328125</c:v>
                </c:pt>
                <c:pt idx="51">
                  <c:v>16165.2255859375</c:v>
                </c:pt>
                <c:pt idx="52">
                  <c:v>15258.1083984375</c:v>
                </c:pt>
                <c:pt idx="53">
                  <c:v>15478.857421875</c:v>
                </c:pt>
                <c:pt idx="54">
                  <c:v>15549.134765625</c:v>
                </c:pt>
                <c:pt idx="55">
                  <c:v>14907.6845703125</c:v>
                </c:pt>
                <c:pt idx="56">
                  <c:v>14986.880859375</c:v>
                </c:pt>
                <c:pt idx="57">
                  <c:v>15178.7861328125</c:v>
                </c:pt>
                <c:pt idx="58">
                  <c:v>16917.568359375</c:v>
                </c:pt>
                <c:pt idx="59">
                  <c:v>18658.296875</c:v>
                </c:pt>
                <c:pt idx="60">
                  <c:v>21264.453125</c:v>
                </c:pt>
                <c:pt idx="61">
                  <c:v>20886.267578125</c:v>
                </c:pt>
                <c:pt idx="62">
                  <c:v>18715.591796875</c:v>
                </c:pt>
                <c:pt idx="63">
                  <c:v>17473.46875</c:v>
                </c:pt>
                <c:pt idx="64">
                  <c:v>16636.669921875</c:v>
                </c:pt>
                <c:pt idx="65">
                  <c:v>13585.115234375</c:v>
                </c:pt>
                <c:pt idx="66">
                  <c:v>7884.93115234375</c:v>
                </c:pt>
                <c:pt idx="67">
                  <c:v>12866.927734375</c:v>
                </c:pt>
                <c:pt idx="68">
                  <c:v>24141.318359375</c:v>
                </c:pt>
                <c:pt idx="69">
                  <c:v>25507.208984375</c:v>
                </c:pt>
                <c:pt idx="70">
                  <c:v>29997.736328125</c:v>
                </c:pt>
                <c:pt idx="71">
                  <c:v>25698.072265625</c:v>
                </c:pt>
                <c:pt idx="72">
                  <c:v>41051.6484375</c:v>
                </c:pt>
                <c:pt idx="73">
                  <c:v>52095.2421875</c:v>
                </c:pt>
                <c:pt idx="74">
                  <c:v>56963.77734375</c:v>
                </c:pt>
                <c:pt idx="75">
                  <c:v>55090.8046875</c:v>
                </c:pt>
                <c:pt idx="76">
                  <c:v>57346.11328125</c:v>
                </c:pt>
                <c:pt idx="77">
                  <c:v>64666.65234375</c:v>
                </c:pt>
                <c:pt idx="78">
                  <c:v>78446.6015625</c:v>
                </c:pt>
                <c:pt idx="79">
                  <c:v>82061.5625</c:v>
                </c:pt>
                <c:pt idx="80">
                  <c:v>87109.3515625</c:v>
                </c:pt>
                <c:pt idx="81">
                  <c:v>88410.015625</c:v>
                </c:pt>
                <c:pt idx="82">
                  <c:v>103013.34375</c:v>
                </c:pt>
                <c:pt idx="83">
                  <c:v>111855.7578125</c:v>
                </c:pt>
                <c:pt idx="84">
                  <c:v>111393.0390625</c:v>
                </c:pt>
                <c:pt idx="85">
                  <c:v>106026.859375</c:v>
                </c:pt>
                <c:pt idx="86">
                  <c:v>113231.203125</c:v>
                </c:pt>
                <c:pt idx="87">
                  <c:v>127321.53125</c:v>
                </c:pt>
                <c:pt idx="88">
                  <c:v>119312.78125</c:v>
                </c:pt>
                <c:pt idx="89">
                  <c:v>111337.0859375</c:v>
                </c:pt>
                <c:pt idx="90">
                  <c:v>108439.8359375</c:v>
                </c:pt>
                <c:pt idx="91">
                  <c:v>93202.2421875</c:v>
                </c:pt>
                <c:pt idx="92">
                  <c:v>79814.625</c:v>
                </c:pt>
                <c:pt idx="93">
                  <c:v>72635.375</c:v>
                </c:pt>
                <c:pt idx="94">
                  <c:v>68042.078125</c:v>
                </c:pt>
                <c:pt idx="95">
                  <c:v>55757.26953125</c:v>
                </c:pt>
                <c:pt idx="96">
                  <c:v>42371.3671875</c:v>
                </c:pt>
                <c:pt idx="97">
                  <c:v>37658.6875</c:v>
                </c:pt>
                <c:pt idx="98">
                  <c:v>35651.375</c:v>
                </c:pt>
                <c:pt idx="99">
                  <c:v>33138.98828125</c:v>
                </c:pt>
                <c:pt idx="100">
                  <c:v>28441.314453125</c:v>
                </c:pt>
                <c:pt idx="101">
                  <c:v>36512.73828125</c:v>
                </c:pt>
                <c:pt idx="102">
                  <c:v>32592.52734375</c:v>
                </c:pt>
                <c:pt idx="103">
                  <c:v>30029.662109375</c:v>
                </c:pt>
                <c:pt idx="104">
                  <c:v>27070.294921875</c:v>
                </c:pt>
                <c:pt idx="105">
                  <c:v>25187.142578125</c:v>
                </c:pt>
                <c:pt idx="106">
                  <c:v>24774.10546875</c:v>
                </c:pt>
                <c:pt idx="107">
                  <c:v>23243.1875</c:v>
                </c:pt>
                <c:pt idx="108">
                  <c:v>21069.015625</c:v>
                </c:pt>
                <c:pt idx="109">
                  <c:v>20376.66796875</c:v>
                </c:pt>
                <c:pt idx="110">
                  <c:v>18642.712890625</c:v>
                </c:pt>
                <c:pt idx="111">
                  <c:v>15406.603515625</c:v>
                </c:pt>
                <c:pt idx="112">
                  <c:v>11912.5419921875</c:v>
                </c:pt>
                <c:pt idx="113">
                  <c:v>8906.048828125</c:v>
                </c:pt>
                <c:pt idx="114">
                  <c:v>4927.66650390625</c:v>
                </c:pt>
                <c:pt idx="115">
                  <c:v>-1709.61791992187</c:v>
                </c:pt>
                <c:pt idx="116">
                  <c:v>-1493.88195800781</c:v>
                </c:pt>
                <c:pt idx="117">
                  <c:v>-6345.21337890625</c:v>
                </c:pt>
                <c:pt idx="118">
                  <c:v>-7846.130859375</c:v>
                </c:pt>
                <c:pt idx="119">
                  <c:v>-6872.64013671875</c:v>
                </c:pt>
                <c:pt idx="120">
                  <c:v>-11228.8095703125</c:v>
                </c:pt>
                <c:pt idx="121">
                  <c:v>-8606.181640625</c:v>
                </c:pt>
                <c:pt idx="122">
                  <c:v>-10093.7265625</c:v>
                </c:pt>
                <c:pt idx="123">
                  <c:v>-349.91323852539</c:v>
                </c:pt>
                <c:pt idx="124">
                  <c:v>-1456.78723144531</c:v>
                </c:pt>
                <c:pt idx="125">
                  <c:v>-865.9072265625</c:v>
                </c:pt>
                <c:pt idx="126">
                  <c:v>1000.32458496093</c:v>
                </c:pt>
                <c:pt idx="127">
                  <c:v>6964.330078125</c:v>
                </c:pt>
                <c:pt idx="128">
                  <c:v>7037.3564453125</c:v>
                </c:pt>
                <c:pt idx="129">
                  <c:v>9704.6220703125</c:v>
                </c:pt>
                <c:pt idx="130">
                  <c:v>16559.58203125</c:v>
                </c:pt>
                <c:pt idx="131">
                  <c:v>22570.806640625</c:v>
                </c:pt>
                <c:pt idx="132">
                  <c:v>30849.900390625</c:v>
                </c:pt>
                <c:pt idx="133">
                  <c:v>31197.921875</c:v>
                </c:pt>
                <c:pt idx="134">
                  <c:v>28974.279296875</c:v>
                </c:pt>
                <c:pt idx="135">
                  <c:v>29268.76171875</c:v>
                </c:pt>
                <c:pt idx="136">
                  <c:v>29191.67578125</c:v>
                </c:pt>
                <c:pt idx="137">
                  <c:v>29722.6484375</c:v>
                </c:pt>
                <c:pt idx="138">
                  <c:v>28986.96484375</c:v>
                </c:pt>
                <c:pt idx="139">
                  <c:v>29089.322265625</c:v>
                </c:pt>
                <c:pt idx="140">
                  <c:v>28336.892578125</c:v>
                </c:pt>
                <c:pt idx="141">
                  <c:v>27490.380859375</c:v>
                </c:pt>
                <c:pt idx="142">
                  <c:v>28931.80859375</c:v>
                </c:pt>
                <c:pt idx="143">
                  <c:v>26133.5</c:v>
                </c:pt>
                <c:pt idx="144">
                  <c:v>20165.728515625</c:v>
                </c:pt>
                <c:pt idx="145">
                  <c:v>19156.265625</c:v>
                </c:pt>
                <c:pt idx="146">
                  <c:v>16266.8896484375</c:v>
                </c:pt>
                <c:pt idx="147">
                  <c:v>15659.94140625</c:v>
                </c:pt>
                <c:pt idx="148">
                  <c:v>16126.9521484375</c:v>
                </c:pt>
                <c:pt idx="149">
                  <c:v>12359.1435546875</c:v>
                </c:pt>
                <c:pt idx="150">
                  <c:v>13063.3427734375</c:v>
                </c:pt>
                <c:pt idx="151">
                  <c:v>12550.296875</c:v>
                </c:pt>
                <c:pt idx="152">
                  <c:v>13111.48828125</c:v>
                </c:pt>
                <c:pt idx="153">
                  <c:v>13346.86328125</c:v>
                </c:pt>
                <c:pt idx="154">
                  <c:v>16491.875</c:v>
                </c:pt>
                <c:pt idx="155">
                  <c:v>17776.626953125</c:v>
                </c:pt>
                <c:pt idx="156">
                  <c:v>19478.583984375</c:v>
                </c:pt>
                <c:pt idx="157">
                  <c:v>20767.654296875</c:v>
                </c:pt>
                <c:pt idx="158">
                  <c:v>20122.26171875</c:v>
                </c:pt>
                <c:pt idx="159">
                  <c:v>18616.541015625</c:v>
                </c:pt>
                <c:pt idx="160">
                  <c:v>15756.546875</c:v>
                </c:pt>
                <c:pt idx="161">
                  <c:v>14763.90234375</c:v>
                </c:pt>
                <c:pt idx="162">
                  <c:v>14337.0849609375</c:v>
                </c:pt>
                <c:pt idx="163">
                  <c:v>8699.6279296875</c:v>
                </c:pt>
                <c:pt idx="164">
                  <c:v>3699.05053710937</c:v>
                </c:pt>
                <c:pt idx="165">
                  <c:v>8906.630859375</c:v>
                </c:pt>
                <c:pt idx="166">
                  <c:v>4989.70947265625</c:v>
                </c:pt>
                <c:pt idx="167">
                  <c:v>8607.6416015625</c:v>
                </c:pt>
                <c:pt idx="168">
                  <c:v>4573.4609375</c:v>
                </c:pt>
                <c:pt idx="169">
                  <c:v>6464.05908203125</c:v>
                </c:pt>
                <c:pt idx="170">
                  <c:v>8368.7333984375</c:v>
                </c:pt>
                <c:pt idx="171">
                  <c:v>8381.916015625</c:v>
                </c:pt>
                <c:pt idx="172">
                  <c:v>5749.787109375</c:v>
                </c:pt>
                <c:pt idx="173">
                  <c:v>4656.52783203125</c:v>
                </c:pt>
                <c:pt idx="174">
                  <c:v>3767.97802734375</c:v>
                </c:pt>
                <c:pt idx="175">
                  <c:v>8045.1962890625</c:v>
                </c:pt>
                <c:pt idx="176">
                  <c:v>5109.53125</c:v>
                </c:pt>
                <c:pt idx="177">
                  <c:v>9645.2529296875</c:v>
                </c:pt>
                <c:pt idx="178">
                  <c:v>20173.822265625</c:v>
                </c:pt>
                <c:pt idx="179">
                  <c:v>20695.419921875</c:v>
                </c:pt>
                <c:pt idx="180">
                  <c:v>24245.01953125</c:v>
                </c:pt>
                <c:pt idx="181">
                  <c:v>25836.880859375</c:v>
                </c:pt>
                <c:pt idx="182">
                  <c:v>29425.93359375</c:v>
                </c:pt>
                <c:pt idx="183">
                  <c:v>28369.65234375</c:v>
                </c:pt>
                <c:pt idx="184">
                  <c:v>32022.171875</c:v>
                </c:pt>
                <c:pt idx="185">
                  <c:v>30865.00390625</c:v>
                </c:pt>
                <c:pt idx="186">
                  <c:v>31830.322265625</c:v>
                </c:pt>
                <c:pt idx="187">
                  <c:v>27994.63671875</c:v>
                </c:pt>
                <c:pt idx="188">
                  <c:v>29428.51953125</c:v>
                </c:pt>
                <c:pt idx="189">
                  <c:v>26443.982421875</c:v>
                </c:pt>
                <c:pt idx="190">
                  <c:v>28988.759765625</c:v>
                </c:pt>
                <c:pt idx="191">
                  <c:v>26204.42578125</c:v>
                </c:pt>
                <c:pt idx="192">
                  <c:v>18401.373046875</c:v>
                </c:pt>
                <c:pt idx="193">
                  <c:v>17423.3671875</c:v>
                </c:pt>
                <c:pt idx="194">
                  <c:v>15173.4775390625</c:v>
                </c:pt>
                <c:pt idx="195">
                  <c:v>15282.8984375</c:v>
                </c:pt>
                <c:pt idx="196">
                  <c:v>13593.9248046875</c:v>
                </c:pt>
                <c:pt idx="197">
                  <c:v>13454.353515625</c:v>
                </c:pt>
                <c:pt idx="198">
                  <c:v>14169.84375</c:v>
                </c:pt>
                <c:pt idx="199">
                  <c:v>12571.2607421875</c:v>
                </c:pt>
                <c:pt idx="200">
                  <c:v>13406.3232421875</c:v>
                </c:pt>
                <c:pt idx="201">
                  <c:v>15578.685546875</c:v>
                </c:pt>
                <c:pt idx="202">
                  <c:v>16416.669921875</c:v>
                </c:pt>
                <c:pt idx="203">
                  <c:v>16605.513671875</c:v>
                </c:pt>
                <c:pt idx="204">
                  <c:v>17393.04296875</c:v>
                </c:pt>
                <c:pt idx="205">
                  <c:v>18365.173828125</c:v>
                </c:pt>
                <c:pt idx="206">
                  <c:v>15972.1396484375</c:v>
                </c:pt>
                <c:pt idx="207">
                  <c:v>15305.697265625</c:v>
                </c:pt>
                <c:pt idx="208">
                  <c:v>7705.8037109375</c:v>
                </c:pt>
                <c:pt idx="209">
                  <c:v>1302.48413085937</c:v>
                </c:pt>
                <c:pt idx="210">
                  <c:v>-5058.68310546875</c:v>
                </c:pt>
                <c:pt idx="211">
                  <c:v>-10937.6015625</c:v>
                </c:pt>
                <c:pt idx="212">
                  <c:v>-15644.33203125</c:v>
                </c:pt>
                <c:pt idx="213">
                  <c:v>-16941.21484375</c:v>
                </c:pt>
                <c:pt idx="214">
                  <c:v>-17312.5859375</c:v>
                </c:pt>
                <c:pt idx="215">
                  <c:v>-20396.232421875</c:v>
                </c:pt>
                <c:pt idx="216">
                  <c:v>-16152.533203125</c:v>
                </c:pt>
                <c:pt idx="217">
                  <c:v>-8314.890625</c:v>
                </c:pt>
                <c:pt idx="218">
                  <c:v>-5531.37841796875</c:v>
                </c:pt>
                <c:pt idx="219">
                  <c:v>-1622.29089355468</c:v>
                </c:pt>
                <c:pt idx="220">
                  <c:v>1732.4267578125</c:v>
                </c:pt>
                <c:pt idx="221">
                  <c:v>14383.12109375</c:v>
                </c:pt>
                <c:pt idx="222">
                  <c:v>18770.990234375</c:v>
                </c:pt>
                <c:pt idx="223">
                  <c:v>23063.35546875</c:v>
                </c:pt>
                <c:pt idx="224">
                  <c:v>27643.2265625</c:v>
                </c:pt>
                <c:pt idx="225">
                  <c:v>36091.69921875</c:v>
                </c:pt>
                <c:pt idx="226">
                  <c:v>47319.6796875</c:v>
                </c:pt>
                <c:pt idx="227">
                  <c:v>45889.77734375</c:v>
                </c:pt>
                <c:pt idx="228">
                  <c:v>59052.46484375</c:v>
                </c:pt>
                <c:pt idx="229">
                  <c:v>72769.75</c:v>
                </c:pt>
                <c:pt idx="230">
                  <c:v>74827.015625</c:v>
                </c:pt>
                <c:pt idx="231">
                  <c:v>69191.953125</c:v>
                </c:pt>
                <c:pt idx="232">
                  <c:v>68864.171875</c:v>
                </c:pt>
                <c:pt idx="233">
                  <c:v>66409.609375</c:v>
                </c:pt>
                <c:pt idx="234">
                  <c:v>65744.1015625</c:v>
                </c:pt>
                <c:pt idx="235">
                  <c:v>60378.99609375</c:v>
                </c:pt>
                <c:pt idx="236">
                  <c:v>52931.6171875</c:v>
                </c:pt>
                <c:pt idx="237">
                  <c:v>45327.99609375</c:v>
                </c:pt>
                <c:pt idx="238">
                  <c:v>42672.36328125</c:v>
                </c:pt>
                <c:pt idx="239">
                  <c:v>35143.7109375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6C-496D-8852-15F8A0AD9B71}"/>
            </c:ext>
          </c:extLst>
        </c:ser>
        <c:ser>
          <c:idx val="2"/>
          <c:order val="2"/>
          <c:tx>
            <c:strRef>
              <c:f>measured_powers!$X$252</c:f>
              <c:strCache>
                <c:ptCount val="1"/>
                <c:pt idx="0">
                  <c:v>p_634_C_W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measured_powers!$U$253:$U$492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measured_powers!$X$253:$X$492</c:f>
              <c:numCache>
                <c:formatCode>General</c:formatCode>
                <c:ptCount val="240"/>
                <c:pt idx="0">
                  <c:v>26332.78515625</c:v>
                </c:pt>
                <c:pt idx="1">
                  <c:v>25641.20703125</c:v>
                </c:pt>
                <c:pt idx="2">
                  <c:v>22403.7890625</c:v>
                </c:pt>
                <c:pt idx="3">
                  <c:v>22278.935546875</c:v>
                </c:pt>
                <c:pt idx="4">
                  <c:v>22118.52734375</c:v>
                </c:pt>
                <c:pt idx="5">
                  <c:v>22126.78515625</c:v>
                </c:pt>
                <c:pt idx="6">
                  <c:v>22236.28125</c:v>
                </c:pt>
                <c:pt idx="7">
                  <c:v>22705.95703125</c:v>
                </c:pt>
                <c:pt idx="8">
                  <c:v>23447.771484375</c:v>
                </c:pt>
                <c:pt idx="9">
                  <c:v>21815.0390625</c:v>
                </c:pt>
                <c:pt idx="10">
                  <c:v>21684.677734375</c:v>
                </c:pt>
                <c:pt idx="11">
                  <c:v>20463.59765625</c:v>
                </c:pt>
                <c:pt idx="12">
                  <c:v>20520.822265625</c:v>
                </c:pt>
                <c:pt idx="13">
                  <c:v>20319.994140625</c:v>
                </c:pt>
                <c:pt idx="14">
                  <c:v>21460.099609375</c:v>
                </c:pt>
                <c:pt idx="15">
                  <c:v>16785.607421875</c:v>
                </c:pt>
                <c:pt idx="16">
                  <c:v>12395.7890625</c:v>
                </c:pt>
                <c:pt idx="17">
                  <c:v>5749.57763671875</c:v>
                </c:pt>
                <c:pt idx="18">
                  <c:v>-608.558837890625</c:v>
                </c:pt>
                <c:pt idx="19">
                  <c:v>-8010.09375</c:v>
                </c:pt>
                <c:pt idx="20">
                  <c:v>-14325.283203125</c:v>
                </c:pt>
                <c:pt idx="21">
                  <c:v>-18089.349609375</c:v>
                </c:pt>
                <c:pt idx="22">
                  <c:v>-23955.00390625</c:v>
                </c:pt>
                <c:pt idx="23">
                  <c:v>-23616.025390625</c:v>
                </c:pt>
                <c:pt idx="24">
                  <c:v>-25499.4765625</c:v>
                </c:pt>
                <c:pt idx="25">
                  <c:v>-28403.498046875</c:v>
                </c:pt>
                <c:pt idx="26">
                  <c:v>-31253.13671875</c:v>
                </c:pt>
                <c:pt idx="27">
                  <c:v>-33784.33984375</c:v>
                </c:pt>
                <c:pt idx="28">
                  <c:v>-30134.3359375</c:v>
                </c:pt>
                <c:pt idx="29">
                  <c:v>-23613.9453125</c:v>
                </c:pt>
                <c:pt idx="30">
                  <c:v>-9354.65234375</c:v>
                </c:pt>
                <c:pt idx="31">
                  <c:v>-1702.98254394531</c:v>
                </c:pt>
                <c:pt idx="32">
                  <c:v>-986.43212890625</c:v>
                </c:pt>
                <c:pt idx="33">
                  <c:v>9327.4306640625</c:v>
                </c:pt>
                <c:pt idx="34">
                  <c:v>16871.017578125</c:v>
                </c:pt>
                <c:pt idx="35">
                  <c:v>35089.90625</c:v>
                </c:pt>
                <c:pt idx="36">
                  <c:v>43543.703125</c:v>
                </c:pt>
                <c:pt idx="37">
                  <c:v>51669.7578125</c:v>
                </c:pt>
                <c:pt idx="38">
                  <c:v>49662.80859375</c:v>
                </c:pt>
                <c:pt idx="39">
                  <c:v>45645.34375</c:v>
                </c:pt>
                <c:pt idx="40">
                  <c:v>39122.140625</c:v>
                </c:pt>
                <c:pt idx="41">
                  <c:v>40782.6796875</c:v>
                </c:pt>
                <c:pt idx="42">
                  <c:v>38642.109375</c:v>
                </c:pt>
                <c:pt idx="43">
                  <c:v>40095.87109375</c:v>
                </c:pt>
                <c:pt idx="44">
                  <c:v>38015.46875</c:v>
                </c:pt>
                <c:pt idx="45">
                  <c:v>34418.59375</c:v>
                </c:pt>
                <c:pt idx="46">
                  <c:v>31317.61328125</c:v>
                </c:pt>
                <c:pt idx="47">
                  <c:v>28734.80859375</c:v>
                </c:pt>
                <c:pt idx="48">
                  <c:v>24540.0078125</c:v>
                </c:pt>
                <c:pt idx="49">
                  <c:v>23031.265625</c:v>
                </c:pt>
                <c:pt idx="50">
                  <c:v>21518.255859375</c:v>
                </c:pt>
                <c:pt idx="51">
                  <c:v>21228.38671875</c:v>
                </c:pt>
                <c:pt idx="52">
                  <c:v>21178.0546875</c:v>
                </c:pt>
                <c:pt idx="53">
                  <c:v>19757.392578125</c:v>
                </c:pt>
                <c:pt idx="54">
                  <c:v>19939.185546875</c:v>
                </c:pt>
                <c:pt idx="55">
                  <c:v>19747.685546875</c:v>
                </c:pt>
                <c:pt idx="56">
                  <c:v>21780.978515625</c:v>
                </c:pt>
                <c:pt idx="57">
                  <c:v>19570.529296875</c:v>
                </c:pt>
                <c:pt idx="58">
                  <c:v>18260.41796875</c:v>
                </c:pt>
                <c:pt idx="59">
                  <c:v>18016.9921875</c:v>
                </c:pt>
                <c:pt idx="60">
                  <c:v>20082.32421875</c:v>
                </c:pt>
                <c:pt idx="61">
                  <c:v>22059.0703125</c:v>
                </c:pt>
                <c:pt idx="62">
                  <c:v>18493.57421875</c:v>
                </c:pt>
                <c:pt idx="63">
                  <c:v>14774.9033203125</c:v>
                </c:pt>
                <c:pt idx="64">
                  <c:v>10710.306640625</c:v>
                </c:pt>
                <c:pt idx="65">
                  <c:v>4151.9248046875</c:v>
                </c:pt>
                <c:pt idx="66">
                  <c:v>2047.25720214843</c:v>
                </c:pt>
                <c:pt idx="67">
                  <c:v>-3829.46899414062</c:v>
                </c:pt>
                <c:pt idx="68">
                  <c:v>-3579.76025390625</c:v>
                </c:pt>
                <c:pt idx="69">
                  <c:v>-2448.95458984375</c:v>
                </c:pt>
                <c:pt idx="70">
                  <c:v>-9906.302734375</c:v>
                </c:pt>
                <c:pt idx="71">
                  <c:v>-14778.490234375</c:v>
                </c:pt>
                <c:pt idx="72">
                  <c:v>-15137.8671875</c:v>
                </c:pt>
                <c:pt idx="73">
                  <c:v>-9508.666015625</c:v>
                </c:pt>
                <c:pt idx="74">
                  <c:v>-3840.20947265625</c:v>
                </c:pt>
                <c:pt idx="75">
                  <c:v>8468.3056640625</c:v>
                </c:pt>
                <c:pt idx="76">
                  <c:v>13603.4931640625</c:v>
                </c:pt>
                <c:pt idx="77">
                  <c:v>22494.59375</c:v>
                </c:pt>
                <c:pt idx="78">
                  <c:v>31775.15625</c:v>
                </c:pt>
                <c:pt idx="79">
                  <c:v>37157.078125</c:v>
                </c:pt>
                <c:pt idx="80">
                  <c:v>40963.5</c:v>
                </c:pt>
                <c:pt idx="81">
                  <c:v>67482.5</c:v>
                </c:pt>
                <c:pt idx="82">
                  <c:v>82726.484375</c:v>
                </c:pt>
                <c:pt idx="83">
                  <c:v>99151.046875</c:v>
                </c:pt>
                <c:pt idx="84">
                  <c:v>109481.5078125</c:v>
                </c:pt>
                <c:pt idx="85">
                  <c:v>110586.2734375</c:v>
                </c:pt>
                <c:pt idx="86">
                  <c:v>121288.890625</c:v>
                </c:pt>
                <c:pt idx="87">
                  <c:v>119820.546875</c:v>
                </c:pt>
                <c:pt idx="88">
                  <c:v>113088.7578125</c:v>
                </c:pt>
                <c:pt idx="89">
                  <c:v>107885.2578125</c:v>
                </c:pt>
                <c:pt idx="90">
                  <c:v>94293.703125</c:v>
                </c:pt>
                <c:pt idx="91">
                  <c:v>85432.046875</c:v>
                </c:pt>
                <c:pt idx="92">
                  <c:v>74231.09375</c:v>
                </c:pt>
                <c:pt idx="93">
                  <c:v>66841.28125</c:v>
                </c:pt>
                <c:pt idx="94">
                  <c:v>63497.015625</c:v>
                </c:pt>
                <c:pt idx="95">
                  <c:v>56276.58984375</c:v>
                </c:pt>
                <c:pt idx="96">
                  <c:v>47867.515625</c:v>
                </c:pt>
                <c:pt idx="97">
                  <c:v>44671.6484375</c:v>
                </c:pt>
                <c:pt idx="98">
                  <c:v>38681.37890625</c:v>
                </c:pt>
                <c:pt idx="99">
                  <c:v>32989.921875</c:v>
                </c:pt>
                <c:pt idx="100">
                  <c:v>34831.48828125</c:v>
                </c:pt>
                <c:pt idx="101">
                  <c:v>39642.4375</c:v>
                </c:pt>
                <c:pt idx="102">
                  <c:v>38708.62109375</c:v>
                </c:pt>
                <c:pt idx="103">
                  <c:v>37914.04296875</c:v>
                </c:pt>
                <c:pt idx="104">
                  <c:v>33287.04296875</c:v>
                </c:pt>
                <c:pt idx="105">
                  <c:v>29997.546875</c:v>
                </c:pt>
                <c:pt idx="106">
                  <c:v>28280.896484375</c:v>
                </c:pt>
                <c:pt idx="107">
                  <c:v>25521.138671875</c:v>
                </c:pt>
                <c:pt idx="108">
                  <c:v>22645.412109375</c:v>
                </c:pt>
                <c:pt idx="109">
                  <c:v>25279.064453125</c:v>
                </c:pt>
                <c:pt idx="110">
                  <c:v>20600.626953125</c:v>
                </c:pt>
                <c:pt idx="111">
                  <c:v>18203.513671875</c:v>
                </c:pt>
                <c:pt idx="112">
                  <c:v>13507.0400390625</c:v>
                </c:pt>
                <c:pt idx="113">
                  <c:v>8401.1220703125</c:v>
                </c:pt>
                <c:pt idx="114">
                  <c:v>1225.220703125</c:v>
                </c:pt>
                <c:pt idx="115">
                  <c:v>-598.35308837890602</c:v>
                </c:pt>
                <c:pt idx="116">
                  <c:v>-142.06277465820301</c:v>
                </c:pt>
                <c:pt idx="117">
                  <c:v>-4449.94189453125</c:v>
                </c:pt>
                <c:pt idx="118">
                  <c:v>-9653.927734375</c:v>
                </c:pt>
                <c:pt idx="119">
                  <c:v>-13592.3896484375</c:v>
                </c:pt>
                <c:pt idx="120">
                  <c:v>-14141.0498046875</c:v>
                </c:pt>
                <c:pt idx="121">
                  <c:v>-20533.38671875</c:v>
                </c:pt>
                <c:pt idx="122">
                  <c:v>-21483.517578125</c:v>
                </c:pt>
                <c:pt idx="123">
                  <c:v>-16530.07421875</c:v>
                </c:pt>
                <c:pt idx="124">
                  <c:v>-15415.88671875</c:v>
                </c:pt>
                <c:pt idx="125">
                  <c:v>-15641.658203125</c:v>
                </c:pt>
                <c:pt idx="126">
                  <c:v>-15068.5302734375</c:v>
                </c:pt>
                <c:pt idx="127">
                  <c:v>-2164.982421875</c:v>
                </c:pt>
                <c:pt idx="128">
                  <c:v>5251.6259765625</c:v>
                </c:pt>
                <c:pt idx="129">
                  <c:v>7870.23291015625</c:v>
                </c:pt>
                <c:pt idx="130">
                  <c:v>16541.4609375</c:v>
                </c:pt>
                <c:pt idx="131">
                  <c:v>23195.927734375</c:v>
                </c:pt>
                <c:pt idx="132">
                  <c:v>30281.052734375</c:v>
                </c:pt>
                <c:pt idx="133">
                  <c:v>32246.716796875</c:v>
                </c:pt>
                <c:pt idx="134">
                  <c:v>31690.30078125</c:v>
                </c:pt>
                <c:pt idx="135">
                  <c:v>34181.5</c:v>
                </c:pt>
                <c:pt idx="136">
                  <c:v>33904.83984375</c:v>
                </c:pt>
                <c:pt idx="137">
                  <c:v>34712.34375</c:v>
                </c:pt>
                <c:pt idx="138">
                  <c:v>32624.501953125</c:v>
                </c:pt>
                <c:pt idx="139">
                  <c:v>30896.337890625</c:v>
                </c:pt>
                <c:pt idx="140">
                  <c:v>29317.419921875</c:v>
                </c:pt>
                <c:pt idx="141">
                  <c:v>29826.798828125</c:v>
                </c:pt>
                <c:pt idx="142">
                  <c:v>25977.541015625</c:v>
                </c:pt>
                <c:pt idx="143">
                  <c:v>26333.544921875</c:v>
                </c:pt>
                <c:pt idx="144">
                  <c:v>23969.458984375</c:v>
                </c:pt>
                <c:pt idx="145">
                  <c:v>20689.955078125</c:v>
                </c:pt>
                <c:pt idx="146">
                  <c:v>19776.421875</c:v>
                </c:pt>
                <c:pt idx="147">
                  <c:v>19085.966796875</c:v>
                </c:pt>
                <c:pt idx="148">
                  <c:v>22468.8984375</c:v>
                </c:pt>
                <c:pt idx="149">
                  <c:v>19625.32421875</c:v>
                </c:pt>
                <c:pt idx="150">
                  <c:v>20454.359375</c:v>
                </c:pt>
                <c:pt idx="151">
                  <c:v>20449.662109375</c:v>
                </c:pt>
                <c:pt idx="152">
                  <c:v>19584.5234375</c:v>
                </c:pt>
                <c:pt idx="153">
                  <c:v>17153.224609375</c:v>
                </c:pt>
                <c:pt idx="154">
                  <c:v>18033.5</c:v>
                </c:pt>
                <c:pt idx="155">
                  <c:v>20934.40234375</c:v>
                </c:pt>
                <c:pt idx="156">
                  <c:v>21848.890625</c:v>
                </c:pt>
                <c:pt idx="157">
                  <c:v>21722.5390625</c:v>
                </c:pt>
                <c:pt idx="158">
                  <c:v>22513.220703125</c:v>
                </c:pt>
                <c:pt idx="159">
                  <c:v>17662.66015625</c:v>
                </c:pt>
                <c:pt idx="160">
                  <c:v>15341.787109375</c:v>
                </c:pt>
                <c:pt idx="161">
                  <c:v>15279.2353515625</c:v>
                </c:pt>
                <c:pt idx="162">
                  <c:v>10446.779296875</c:v>
                </c:pt>
                <c:pt idx="163">
                  <c:v>6802.98876953125</c:v>
                </c:pt>
                <c:pt idx="164">
                  <c:v>3824.60693359375</c:v>
                </c:pt>
                <c:pt idx="165">
                  <c:v>8734.890625</c:v>
                </c:pt>
                <c:pt idx="166">
                  <c:v>4363.43212890625</c:v>
                </c:pt>
                <c:pt idx="167">
                  <c:v>3725.9453125</c:v>
                </c:pt>
                <c:pt idx="168">
                  <c:v>4387.78955078125</c:v>
                </c:pt>
                <c:pt idx="169">
                  <c:v>-772.66735839843705</c:v>
                </c:pt>
                <c:pt idx="170">
                  <c:v>2038.54711914062</c:v>
                </c:pt>
                <c:pt idx="171">
                  <c:v>1390.73425292968</c:v>
                </c:pt>
                <c:pt idx="172">
                  <c:v>4243.06640625</c:v>
                </c:pt>
                <c:pt idx="173">
                  <c:v>4574.0263671875</c:v>
                </c:pt>
                <c:pt idx="174">
                  <c:v>3035.76733398437</c:v>
                </c:pt>
                <c:pt idx="175">
                  <c:v>3895.626953125</c:v>
                </c:pt>
                <c:pt idx="176">
                  <c:v>6295.85888671875</c:v>
                </c:pt>
                <c:pt idx="177">
                  <c:v>8832.57421875</c:v>
                </c:pt>
                <c:pt idx="178">
                  <c:v>17569.18359375</c:v>
                </c:pt>
                <c:pt idx="179">
                  <c:v>27517.072265625</c:v>
                </c:pt>
                <c:pt idx="180">
                  <c:v>32278.1328125</c:v>
                </c:pt>
                <c:pt idx="181">
                  <c:v>35767.01953125</c:v>
                </c:pt>
                <c:pt idx="182">
                  <c:v>34196.7734375</c:v>
                </c:pt>
                <c:pt idx="183">
                  <c:v>32743.39453125</c:v>
                </c:pt>
                <c:pt idx="184">
                  <c:v>33212.74609375</c:v>
                </c:pt>
                <c:pt idx="185">
                  <c:v>36063.12109375</c:v>
                </c:pt>
                <c:pt idx="186">
                  <c:v>36565.77734375</c:v>
                </c:pt>
                <c:pt idx="187">
                  <c:v>29723.01171875</c:v>
                </c:pt>
                <c:pt idx="188">
                  <c:v>31766.1875</c:v>
                </c:pt>
                <c:pt idx="189">
                  <c:v>27994.939453125</c:v>
                </c:pt>
                <c:pt idx="190">
                  <c:v>25415.736328125</c:v>
                </c:pt>
                <c:pt idx="191">
                  <c:v>23109.677734375</c:v>
                </c:pt>
                <c:pt idx="192">
                  <c:v>21980.154296875</c:v>
                </c:pt>
                <c:pt idx="193">
                  <c:v>22551.662109375</c:v>
                </c:pt>
                <c:pt idx="194">
                  <c:v>20306.853515625</c:v>
                </c:pt>
                <c:pt idx="195">
                  <c:v>20587.224609375</c:v>
                </c:pt>
                <c:pt idx="196">
                  <c:v>20735.365234375</c:v>
                </c:pt>
                <c:pt idx="197">
                  <c:v>20258.279296875</c:v>
                </c:pt>
                <c:pt idx="198">
                  <c:v>21582.109375</c:v>
                </c:pt>
                <c:pt idx="199">
                  <c:v>20770.98046875</c:v>
                </c:pt>
                <c:pt idx="200">
                  <c:v>18885.6171875</c:v>
                </c:pt>
                <c:pt idx="201">
                  <c:v>16961.623046875</c:v>
                </c:pt>
                <c:pt idx="202">
                  <c:v>17797.3828125</c:v>
                </c:pt>
                <c:pt idx="203">
                  <c:v>17083.05859375</c:v>
                </c:pt>
                <c:pt idx="204">
                  <c:v>17176.03125</c:v>
                </c:pt>
                <c:pt idx="205">
                  <c:v>18778.6015625</c:v>
                </c:pt>
                <c:pt idx="206">
                  <c:v>18145.263671875</c:v>
                </c:pt>
                <c:pt idx="207">
                  <c:v>15118.4619140625</c:v>
                </c:pt>
                <c:pt idx="208">
                  <c:v>7483.66357421875</c:v>
                </c:pt>
                <c:pt idx="209">
                  <c:v>637.54095458984295</c:v>
                </c:pt>
                <c:pt idx="210">
                  <c:v>-3062.62524414062</c:v>
                </c:pt>
                <c:pt idx="211">
                  <c:v>-8132.7021484375</c:v>
                </c:pt>
                <c:pt idx="212">
                  <c:v>-17722.669921875</c:v>
                </c:pt>
                <c:pt idx="213">
                  <c:v>-23087.861328125</c:v>
                </c:pt>
                <c:pt idx="214">
                  <c:v>-24105.36328125</c:v>
                </c:pt>
                <c:pt idx="215">
                  <c:v>-22862.71875</c:v>
                </c:pt>
                <c:pt idx="216">
                  <c:v>-16828.541015625</c:v>
                </c:pt>
                <c:pt idx="217">
                  <c:v>-25432.443359375</c:v>
                </c:pt>
                <c:pt idx="218">
                  <c:v>-27252.5</c:v>
                </c:pt>
                <c:pt idx="219">
                  <c:v>-26158.55078125</c:v>
                </c:pt>
                <c:pt idx="220">
                  <c:v>-13125.79296875</c:v>
                </c:pt>
                <c:pt idx="221">
                  <c:v>-6722.0654296875</c:v>
                </c:pt>
                <c:pt idx="222">
                  <c:v>1715.76721191406</c:v>
                </c:pt>
                <c:pt idx="223">
                  <c:v>3477.21142578125</c:v>
                </c:pt>
                <c:pt idx="224">
                  <c:v>4881.80078125</c:v>
                </c:pt>
                <c:pt idx="225">
                  <c:v>19957.8046875</c:v>
                </c:pt>
                <c:pt idx="226">
                  <c:v>35061.94140625</c:v>
                </c:pt>
                <c:pt idx="227">
                  <c:v>53630.8359375</c:v>
                </c:pt>
                <c:pt idx="228">
                  <c:v>64264.90234375</c:v>
                </c:pt>
                <c:pt idx="229">
                  <c:v>60914.4453125</c:v>
                </c:pt>
                <c:pt idx="230">
                  <c:v>68667.5546875</c:v>
                </c:pt>
                <c:pt idx="231">
                  <c:v>67336.453125</c:v>
                </c:pt>
                <c:pt idx="232">
                  <c:v>66599.7890625</c:v>
                </c:pt>
                <c:pt idx="233">
                  <c:v>64013.3125</c:v>
                </c:pt>
                <c:pt idx="234">
                  <c:v>63825.36328125</c:v>
                </c:pt>
                <c:pt idx="235">
                  <c:v>58170.93359375</c:v>
                </c:pt>
                <c:pt idx="236">
                  <c:v>52115.52734375</c:v>
                </c:pt>
                <c:pt idx="237">
                  <c:v>45237.06640625</c:v>
                </c:pt>
                <c:pt idx="238">
                  <c:v>45716.01171875</c:v>
                </c:pt>
                <c:pt idx="239">
                  <c:v>38795.9765625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6C-496D-8852-15F8A0AD9B71}"/>
            </c:ext>
          </c:extLst>
        </c:ser>
        <c:ser>
          <c:idx val="3"/>
          <c:order val="3"/>
          <c:tx>
            <c:strRef>
              <c:f>measured_powers!$Y$252</c:f>
              <c:strCache>
                <c:ptCount val="1"/>
                <c:pt idx="0">
                  <c:v>p_645_B_W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measured_powers!$U$253:$U$492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measured_powers!$Y$253:$Y$492</c:f>
              <c:numCache>
                <c:formatCode>General</c:formatCode>
                <c:ptCount val="240"/>
                <c:pt idx="0">
                  <c:v>50837.53125</c:v>
                </c:pt>
                <c:pt idx="1">
                  <c:v>44308.0078125</c:v>
                </c:pt>
                <c:pt idx="2">
                  <c:v>36205.40234375</c:v>
                </c:pt>
                <c:pt idx="3">
                  <c:v>29846.482421875</c:v>
                </c:pt>
                <c:pt idx="4">
                  <c:v>29493.1875</c:v>
                </c:pt>
                <c:pt idx="5">
                  <c:v>28033.001953125</c:v>
                </c:pt>
                <c:pt idx="6">
                  <c:v>28122.955078125</c:v>
                </c:pt>
                <c:pt idx="7">
                  <c:v>28562.951171875</c:v>
                </c:pt>
                <c:pt idx="8">
                  <c:v>28138.552734375</c:v>
                </c:pt>
                <c:pt idx="9">
                  <c:v>28767.84375</c:v>
                </c:pt>
                <c:pt idx="10">
                  <c:v>32054.1015625</c:v>
                </c:pt>
                <c:pt idx="11">
                  <c:v>31095.6796875</c:v>
                </c:pt>
                <c:pt idx="12">
                  <c:v>29103.55078125</c:v>
                </c:pt>
                <c:pt idx="13">
                  <c:v>28255.119140625</c:v>
                </c:pt>
                <c:pt idx="14">
                  <c:v>25837.958984375</c:v>
                </c:pt>
                <c:pt idx="15">
                  <c:v>19650.220703125</c:v>
                </c:pt>
                <c:pt idx="16">
                  <c:v>16689.326171875</c:v>
                </c:pt>
                <c:pt idx="17">
                  <c:v>13550.232421875</c:v>
                </c:pt>
                <c:pt idx="18">
                  <c:v>-1088.34326171875</c:v>
                </c:pt>
                <c:pt idx="19">
                  <c:v>-12373.9345703125</c:v>
                </c:pt>
                <c:pt idx="20">
                  <c:v>-19628.244140625</c:v>
                </c:pt>
                <c:pt idx="21">
                  <c:v>-32128.07421875</c:v>
                </c:pt>
                <c:pt idx="22">
                  <c:v>-34586.765625</c:v>
                </c:pt>
                <c:pt idx="23">
                  <c:v>-33922.6328125</c:v>
                </c:pt>
                <c:pt idx="24">
                  <c:v>-31659.890625</c:v>
                </c:pt>
                <c:pt idx="25">
                  <c:v>-34026.80078125</c:v>
                </c:pt>
                <c:pt idx="26">
                  <c:v>-40096.3984375</c:v>
                </c:pt>
                <c:pt idx="27">
                  <c:v>-35277.390625</c:v>
                </c:pt>
                <c:pt idx="28">
                  <c:v>-16887.84375</c:v>
                </c:pt>
                <c:pt idx="29">
                  <c:v>-13452.251953125</c:v>
                </c:pt>
                <c:pt idx="30">
                  <c:v>-6312.0380859375</c:v>
                </c:pt>
                <c:pt idx="31">
                  <c:v>5704.84423828125</c:v>
                </c:pt>
                <c:pt idx="32">
                  <c:v>9150.8671875</c:v>
                </c:pt>
                <c:pt idx="33">
                  <c:v>20740.486328125</c:v>
                </c:pt>
                <c:pt idx="34">
                  <c:v>33220.296875</c:v>
                </c:pt>
                <c:pt idx="35">
                  <c:v>46338.10546875</c:v>
                </c:pt>
                <c:pt idx="36">
                  <c:v>60313.7578125</c:v>
                </c:pt>
                <c:pt idx="37">
                  <c:v>72196.8359375</c:v>
                </c:pt>
                <c:pt idx="38">
                  <c:v>74465.109375</c:v>
                </c:pt>
                <c:pt idx="39">
                  <c:v>75451.25</c:v>
                </c:pt>
                <c:pt idx="40">
                  <c:v>60830.875</c:v>
                </c:pt>
                <c:pt idx="41">
                  <c:v>55313.796875</c:v>
                </c:pt>
                <c:pt idx="42">
                  <c:v>54771.19921875</c:v>
                </c:pt>
                <c:pt idx="43">
                  <c:v>53719.02734375</c:v>
                </c:pt>
                <c:pt idx="44">
                  <c:v>50639.62109375</c:v>
                </c:pt>
                <c:pt idx="45">
                  <c:v>54712.94921875</c:v>
                </c:pt>
                <c:pt idx="46">
                  <c:v>52322.2109375</c:v>
                </c:pt>
                <c:pt idx="47">
                  <c:v>44302.13671875</c:v>
                </c:pt>
                <c:pt idx="48">
                  <c:v>48208.828125</c:v>
                </c:pt>
                <c:pt idx="49">
                  <c:v>40716.5859375</c:v>
                </c:pt>
                <c:pt idx="50">
                  <c:v>34889.2421875</c:v>
                </c:pt>
                <c:pt idx="51">
                  <c:v>29367.095703125</c:v>
                </c:pt>
                <c:pt idx="52">
                  <c:v>30655.533203125</c:v>
                </c:pt>
                <c:pt idx="53">
                  <c:v>28235.044921875</c:v>
                </c:pt>
                <c:pt idx="54">
                  <c:v>31980.046875</c:v>
                </c:pt>
                <c:pt idx="55">
                  <c:v>36679.50390625</c:v>
                </c:pt>
                <c:pt idx="56">
                  <c:v>34080.54296875</c:v>
                </c:pt>
                <c:pt idx="57">
                  <c:v>35098.98828125</c:v>
                </c:pt>
                <c:pt idx="58">
                  <c:v>34450.7421875</c:v>
                </c:pt>
                <c:pt idx="59">
                  <c:v>35198.88671875</c:v>
                </c:pt>
                <c:pt idx="60">
                  <c:v>31457.765625</c:v>
                </c:pt>
                <c:pt idx="61">
                  <c:v>27766.759765625</c:v>
                </c:pt>
                <c:pt idx="62">
                  <c:v>20514.5546875</c:v>
                </c:pt>
                <c:pt idx="63">
                  <c:v>11023.412109375</c:v>
                </c:pt>
                <c:pt idx="64">
                  <c:v>14346.5205078125</c:v>
                </c:pt>
                <c:pt idx="65">
                  <c:v>3716.32446289062</c:v>
                </c:pt>
                <c:pt idx="66">
                  <c:v>-2274.69384765625</c:v>
                </c:pt>
                <c:pt idx="67">
                  <c:v>-9154.9130859375</c:v>
                </c:pt>
                <c:pt idx="68">
                  <c:v>-3857.17358398437</c:v>
                </c:pt>
                <c:pt idx="69">
                  <c:v>-2386.75634765625</c:v>
                </c:pt>
                <c:pt idx="70">
                  <c:v>3415.0693359375</c:v>
                </c:pt>
                <c:pt idx="71">
                  <c:v>6197.93896484375</c:v>
                </c:pt>
                <c:pt idx="72">
                  <c:v>9580.9609375</c:v>
                </c:pt>
                <c:pt idx="73">
                  <c:v>22496.845703125</c:v>
                </c:pt>
                <c:pt idx="74">
                  <c:v>26687.8203125</c:v>
                </c:pt>
                <c:pt idx="75">
                  <c:v>32566.193359375</c:v>
                </c:pt>
                <c:pt idx="76">
                  <c:v>54583.3359375</c:v>
                </c:pt>
                <c:pt idx="77">
                  <c:v>72546.984375</c:v>
                </c:pt>
                <c:pt idx="78">
                  <c:v>70261.875</c:v>
                </c:pt>
                <c:pt idx="79">
                  <c:v>62579.9140625</c:v>
                </c:pt>
                <c:pt idx="80">
                  <c:v>78128.1953125</c:v>
                </c:pt>
                <c:pt idx="81">
                  <c:v>105275.609375</c:v>
                </c:pt>
                <c:pt idx="82">
                  <c:v>116038.4921875</c:v>
                </c:pt>
                <c:pt idx="83">
                  <c:v>133080.140625</c:v>
                </c:pt>
                <c:pt idx="84">
                  <c:v>156203.09375</c:v>
                </c:pt>
                <c:pt idx="85">
                  <c:v>158062.90625</c:v>
                </c:pt>
                <c:pt idx="86">
                  <c:v>154397.59375</c:v>
                </c:pt>
                <c:pt idx="87">
                  <c:v>152429.484375</c:v>
                </c:pt>
                <c:pt idx="88">
                  <c:v>154956.75</c:v>
                </c:pt>
                <c:pt idx="89">
                  <c:v>153452.3125</c:v>
                </c:pt>
                <c:pt idx="90">
                  <c:v>133795.953125</c:v>
                </c:pt>
                <c:pt idx="91">
                  <c:v>131042.859375</c:v>
                </c:pt>
                <c:pt idx="92">
                  <c:v>113981.2578125</c:v>
                </c:pt>
                <c:pt idx="93">
                  <c:v>109344.671875</c:v>
                </c:pt>
                <c:pt idx="94">
                  <c:v>98962.7734375</c:v>
                </c:pt>
                <c:pt idx="95">
                  <c:v>94029.828125</c:v>
                </c:pt>
                <c:pt idx="96">
                  <c:v>85802.78125</c:v>
                </c:pt>
                <c:pt idx="97">
                  <c:v>84592.078125</c:v>
                </c:pt>
                <c:pt idx="98">
                  <c:v>73845.7265625</c:v>
                </c:pt>
                <c:pt idx="99">
                  <c:v>70103.6015625</c:v>
                </c:pt>
                <c:pt idx="100">
                  <c:v>72596.71875</c:v>
                </c:pt>
                <c:pt idx="101">
                  <c:v>65840.7578125</c:v>
                </c:pt>
                <c:pt idx="102">
                  <c:v>58511.94921875</c:v>
                </c:pt>
                <c:pt idx="103">
                  <c:v>58882.0703125</c:v>
                </c:pt>
                <c:pt idx="104">
                  <c:v>58967.5625</c:v>
                </c:pt>
                <c:pt idx="105">
                  <c:v>58719.14453125</c:v>
                </c:pt>
                <c:pt idx="106">
                  <c:v>53787.17578125</c:v>
                </c:pt>
                <c:pt idx="107">
                  <c:v>50269.45703125</c:v>
                </c:pt>
                <c:pt idx="108">
                  <c:v>46342.46875</c:v>
                </c:pt>
                <c:pt idx="109">
                  <c:v>41208.765625</c:v>
                </c:pt>
                <c:pt idx="110">
                  <c:v>34653.0234375</c:v>
                </c:pt>
                <c:pt idx="111">
                  <c:v>26564.3828125</c:v>
                </c:pt>
                <c:pt idx="112">
                  <c:v>24669.5859375</c:v>
                </c:pt>
                <c:pt idx="113">
                  <c:v>18981.560546875</c:v>
                </c:pt>
                <c:pt idx="114">
                  <c:v>15272.033203125</c:v>
                </c:pt>
                <c:pt idx="115">
                  <c:v>6506.01318359375</c:v>
                </c:pt>
                <c:pt idx="116">
                  <c:v>5197.64990234375</c:v>
                </c:pt>
                <c:pt idx="117">
                  <c:v>1530.07788085937</c:v>
                </c:pt>
                <c:pt idx="118">
                  <c:v>-2430.94555664062</c:v>
                </c:pt>
                <c:pt idx="119">
                  <c:v>3775.20385742187</c:v>
                </c:pt>
                <c:pt idx="120">
                  <c:v>2968.92333984375</c:v>
                </c:pt>
                <c:pt idx="121">
                  <c:v>266.08251953125</c:v>
                </c:pt>
                <c:pt idx="122">
                  <c:v>-13488.103515625</c:v>
                </c:pt>
                <c:pt idx="123">
                  <c:v>-11613.173828125</c:v>
                </c:pt>
                <c:pt idx="124">
                  <c:v>-12491.900390625</c:v>
                </c:pt>
                <c:pt idx="125">
                  <c:v>-9771.0966796875</c:v>
                </c:pt>
                <c:pt idx="126">
                  <c:v>710.21929931640602</c:v>
                </c:pt>
                <c:pt idx="127">
                  <c:v>11251.576171875</c:v>
                </c:pt>
                <c:pt idx="128">
                  <c:v>9653.0419921875</c:v>
                </c:pt>
                <c:pt idx="129">
                  <c:v>16140.9453125</c:v>
                </c:pt>
                <c:pt idx="130">
                  <c:v>25545.935546875</c:v>
                </c:pt>
                <c:pt idx="131">
                  <c:v>35249.1171875</c:v>
                </c:pt>
                <c:pt idx="132">
                  <c:v>45515.91796875</c:v>
                </c:pt>
                <c:pt idx="133">
                  <c:v>49973.671875</c:v>
                </c:pt>
                <c:pt idx="134">
                  <c:v>48243.171875</c:v>
                </c:pt>
                <c:pt idx="135">
                  <c:v>45632.375</c:v>
                </c:pt>
                <c:pt idx="136">
                  <c:v>43890.01953125</c:v>
                </c:pt>
                <c:pt idx="137">
                  <c:v>42037.14453125</c:v>
                </c:pt>
                <c:pt idx="138">
                  <c:v>44189.84765625</c:v>
                </c:pt>
                <c:pt idx="139">
                  <c:v>42437.36328125</c:v>
                </c:pt>
                <c:pt idx="140">
                  <c:v>47533.1015625</c:v>
                </c:pt>
                <c:pt idx="141">
                  <c:v>51388.078125</c:v>
                </c:pt>
                <c:pt idx="142">
                  <c:v>43345.53125</c:v>
                </c:pt>
                <c:pt idx="143">
                  <c:v>42431.2265625</c:v>
                </c:pt>
                <c:pt idx="144">
                  <c:v>43581.58984375</c:v>
                </c:pt>
                <c:pt idx="145">
                  <c:v>37709.7890625</c:v>
                </c:pt>
                <c:pt idx="146">
                  <c:v>30849.54296875</c:v>
                </c:pt>
                <c:pt idx="147">
                  <c:v>28102.66796875</c:v>
                </c:pt>
                <c:pt idx="148">
                  <c:v>26604.349609375</c:v>
                </c:pt>
                <c:pt idx="149">
                  <c:v>27513.98828125</c:v>
                </c:pt>
                <c:pt idx="150">
                  <c:v>27969.837890625</c:v>
                </c:pt>
                <c:pt idx="151">
                  <c:v>27962.623046875</c:v>
                </c:pt>
                <c:pt idx="152">
                  <c:v>29923.390625</c:v>
                </c:pt>
                <c:pt idx="153">
                  <c:v>27744.52734375</c:v>
                </c:pt>
                <c:pt idx="154">
                  <c:v>29241.27734375</c:v>
                </c:pt>
                <c:pt idx="155">
                  <c:v>28948.908203125</c:v>
                </c:pt>
                <c:pt idx="156">
                  <c:v>27492.685546875</c:v>
                </c:pt>
                <c:pt idx="157">
                  <c:v>30933.736328125</c:v>
                </c:pt>
                <c:pt idx="158">
                  <c:v>32032.7890625</c:v>
                </c:pt>
                <c:pt idx="159">
                  <c:v>29983.66796875</c:v>
                </c:pt>
                <c:pt idx="160">
                  <c:v>20600.525390625</c:v>
                </c:pt>
                <c:pt idx="161">
                  <c:v>18727.81640625</c:v>
                </c:pt>
                <c:pt idx="162">
                  <c:v>22102.779296875</c:v>
                </c:pt>
                <c:pt idx="163">
                  <c:v>22673.0546875</c:v>
                </c:pt>
                <c:pt idx="164">
                  <c:v>16877.26953125</c:v>
                </c:pt>
                <c:pt idx="165">
                  <c:v>16147.03515625</c:v>
                </c:pt>
                <c:pt idx="166">
                  <c:v>15710.8935546875</c:v>
                </c:pt>
                <c:pt idx="167">
                  <c:v>6554.05224609375</c:v>
                </c:pt>
                <c:pt idx="168">
                  <c:v>-2310.72875976562</c:v>
                </c:pt>
                <c:pt idx="169">
                  <c:v>-1186.3642578125</c:v>
                </c:pt>
                <c:pt idx="170">
                  <c:v>946.29455566406205</c:v>
                </c:pt>
                <c:pt idx="171">
                  <c:v>2130.671875</c:v>
                </c:pt>
                <c:pt idx="172">
                  <c:v>-782.24456787109295</c:v>
                </c:pt>
                <c:pt idx="173">
                  <c:v>-2696.84106445312</c:v>
                </c:pt>
                <c:pt idx="174">
                  <c:v>-2426.76904296875</c:v>
                </c:pt>
                <c:pt idx="175">
                  <c:v>440.13748168945301</c:v>
                </c:pt>
                <c:pt idx="176">
                  <c:v>4900.4833984375</c:v>
                </c:pt>
                <c:pt idx="177">
                  <c:v>5168.064453125</c:v>
                </c:pt>
                <c:pt idx="178">
                  <c:v>23687.43359375</c:v>
                </c:pt>
                <c:pt idx="179">
                  <c:v>38706.10546875</c:v>
                </c:pt>
                <c:pt idx="180">
                  <c:v>37153.6015625</c:v>
                </c:pt>
                <c:pt idx="181">
                  <c:v>38813.58984375</c:v>
                </c:pt>
                <c:pt idx="182">
                  <c:v>42005.13671875</c:v>
                </c:pt>
                <c:pt idx="183">
                  <c:v>45240.22265625</c:v>
                </c:pt>
                <c:pt idx="184">
                  <c:v>49431.24609375</c:v>
                </c:pt>
                <c:pt idx="185">
                  <c:v>49721.4765625</c:v>
                </c:pt>
                <c:pt idx="186">
                  <c:v>48423.9375</c:v>
                </c:pt>
                <c:pt idx="187">
                  <c:v>45778.23046875</c:v>
                </c:pt>
                <c:pt idx="188">
                  <c:v>45492.109375</c:v>
                </c:pt>
                <c:pt idx="189">
                  <c:v>49723.453125</c:v>
                </c:pt>
                <c:pt idx="190">
                  <c:v>43143.84375</c:v>
                </c:pt>
                <c:pt idx="191">
                  <c:v>38228.21875</c:v>
                </c:pt>
                <c:pt idx="192">
                  <c:v>37926.125</c:v>
                </c:pt>
                <c:pt idx="193">
                  <c:v>34650.83984375</c:v>
                </c:pt>
                <c:pt idx="194">
                  <c:v>29529.140625</c:v>
                </c:pt>
                <c:pt idx="195">
                  <c:v>27080.40234375</c:v>
                </c:pt>
                <c:pt idx="196">
                  <c:v>22989.09375</c:v>
                </c:pt>
                <c:pt idx="197">
                  <c:v>23353.2890625</c:v>
                </c:pt>
                <c:pt idx="198">
                  <c:v>25529.935546875</c:v>
                </c:pt>
                <c:pt idx="199">
                  <c:v>25354</c:v>
                </c:pt>
                <c:pt idx="200">
                  <c:v>24181.66796875</c:v>
                </c:pt>
                <c:pt idx="201">
                  <c:v>25261.96875</c:v>
                </c:pt>
                <c:pt idx="202">
                  <c:v>27322.61328125</c:v>
                </c:pt>
                <c:pt idx="203">
                  <c:v>27804.869140625</c:v>
                </c:pt>
                <c:pt idx="204">
                  <c:v>26326.43359375</c:v>
                </c:pt>
                <c:pt idx="205">
                  <c:v>25129.873046875</c:v>
                </c:pt>
                <c:pt idx="206">
                  <c:v>26220.322265625</c:v>
                </c:pt>
                <c:pt idx="207">
                  <c:v>16593.111328125</c:v>
                </c:pt>
                <c:pt idx="208">
                  <c:v>5109.591796875</c:v>
                </c:pt>
                <c:pt idx="209">
                  <c:v>-4466.392578125</c:v>
                </c:pt>
                <c:pt idx="210">
                  <c:v>-12940.1044921875</c:v>
                </c:pt>
                <c:pt idx="211">
                  <c:v>-17943.61328125</c:v>
                </c:pt>
                <c:pt idx="212">
                  <c:v>-28249.021484375</c:v>
                </c:pt>
                <c:pt idx="213">
                  <c:v>-30525.677734375</c:v>
                </c:pt>
                <c:pt idx="214">
                  <c:v>-32143.384765625</c:v>
                </c:pt>
                <c:pt idx="215">
                  <c:v>-30985.875</c:v>
                </c:pt>
                <c:pt idx="216">
                  <c:v>-18805.763671875</c:v>
                </c:pt>
                <c:pt idx="217">
                  <c:v>-20152.091796875</c:v>
                </c:pt>
                <c:pt idx="218">
                  <c:v>-22153.044921875</c:v>
                </c:pt>
                <c:pt idx="219">
                  <c:v>-22242.80859375</c:v>
                </c:pt>
                <c:pt idx="220">
                  <c:v>-2248.69775390625</c:v>
                </c:pt>
                <c:pt idx="221">
                  <c:v>-2268.70288085937</c:v>
                </c:pt>
                <c:pt idx="222">
                  <c:v>10395.2705078125</c:v>
                </c:pt>
                <c:pt idx="223">
                  <c:v>14011.3173828125</c:v>
                </c:pt>
                <c:pt idx="224">
                  <c:v>14684.623046875</c:v>
                </c:pt>
                <c:pt idx="225">
                  <c:v>39496.40625</c:v>
                </c:pt>
                <c:pt idx="226">
                  <c:v>64014.08984375</c:v>
                </c:pt>
                <c:pt idx="227">
                  <c:v>83210.3984375</c:v>
                </c:pt>
                <c:pt idx="228">
                  <c:v>97932.75</c:v>
                </c:pt>
                <c:pt idx="229">
                  <c:v>104277.9921875</c:v>
                </c:pt>
                <c:pt idx="230">
                  <c:v>117430.265625</c:v>
                </c:pt>
                <c:pt idx="231">
                  <c:v>115814.8359375</c:v>
                </c:pt>
                <c:pt idx="232">
                  <c:v>107242.3984375</c:v>
                </c:pt>
                <c:pt idx="233">
                  <c:v>109860.7109375</c:v>
                </c:pt>
                <c:pt idx="234">
                  <c:v>103426.484375</c:v>
                </c:pt>
                <c:pt idx="235">
                  <c:v>98110.390625</c:v>
                </c:pt>
                <c:pt idx="236">
                  <c:v>90560.109375</c:v>
                </c:pt>
                <c:pt idx="237">
                  <c:v>90187.28125</c:v>
                </c:pt>
                <c:pt idx="238">
                  <c:v>90256.3203125</c:v>
                </c:pt>
                <c:pt idx="239">
                  <c:v>76656.3125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6C-496D-8852-15F8A0AD9B71}"/>
            </c:ext>
          </c:extLst>
        </c:ser>
        <c:ser>
          <c:idx val="4"/>
          <c:order val="4"/>
          <c:tx>
            <c:strRef>
              <c:f>measured_powers!$Z$252</c:f>
              <c:strCache>
                <c:ptCount val="1"/>
                <c:pt idx="0">
                  <c:v>p_646_B_W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measured_powers!$U$253:$U$492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measured_powers!$Z$253:$Z$492</c:f>
              <c:numCache>
                <c:formatCode>General</c:formatCode>
                <c:ptCount val="240"/>
                <c:pt idx="0">
                  <c:v>49241.890625</c:v>
                </c:pt>
                <c:pt idx="1">
                  <c:v>45336.953125</c:v>
                </c:pt>
                <c:pt idx="2">
                  <c:v>41410.66796875</c:v>
                </c:pt>
                <c:pt idx="3">
                  <c:v>43601.29296875</c:v>
                </c:pt>
                <c:pt idx="4">
                  <c:v>35153.1796875</c:v>
                </c:pt>
                <c:pt idx="5">
                  <c:v>36373.5703125</c:v>
                </c:pt>
                <c:pt idx="6">
                  <c:v>35720.578125</c:v>
                </c:pt>
                <c:pt idx="7">
                  <c:v>37803.515625</c:v>
                </c:pt>
                <c:pt idx="8">
                  <c:v>36604.5625</c:v>
                </c:pt>
                <c:pt idx="9">
                  <c:v>36645.14453125</c:v>
                </c:pt>
                <c:pt idx="10">
                  <c:v>42526.9453125</c:v>
                </c:pt>
                <c:pt idx="11">
                  <c:v>46519.01953125</c:v>
                </c:pt>
                <c:pt idx="12">
                  <c:v>44899.31640625</c:v>
                </c:pt>
                <c:pt idx="13">
                  <c:v>43636.078125</c:v>
                </c:pt>
                <c:pt idx="14">
                  <c:v>38920.703125</c:v>
                </c:pt>
                <c:pt idx="15">
                  <c:v>29818.7734375</c:v>
                </c:pt>
                <c:pt idx="16">
                  <c:v>22927.75390625</c:v>
                </c:pt>
                <c:pt idx="17">
                  <c:v>20879.34765625</c:v>
                </c:pt>
                <c:pt idx="18">
                  <c:v>6366.240234375</c:v>
                </c:pt>
                <c:pt idx="19">
                  <c:v>-6106.134765625</c:v>
                </c:pt>
                <c:pt idx="20">
                  <c:v>-15185.3369140625</c:v>
                </c:pt>
                <c:pt idx="21">
                  <c:v>-24890.943359375</c:v>
                </c:pt>
                <c:pt idx="22">
                  <c:v>-36538.65625</c:v>
                </c:pt>
                <c:pt idx="23">
                  <c:v>-39780.37890625</c:v>
                </c:pt>
                <c:pt idx="24">
                  <c:v>-45444.171875</c:v>
                </c:pt>
                <c:pt idx="25">
                  <c:v>-46626.25390625</c:v>
                </c:pt>
                <c:pt idx="26">
                  <c:v>-49197.68359375</c:v>
                </c:pt>
                <c:pt idx="27">
                  <c:v>-49583.953125</c:v>
                </c:pt>
                <c:pt idx="28">
                  <c:v>-47500.73828125</c:v>
                </c:pt>
                <c:pt idx="29">
                  <c:v>-43053.93359375</c:v>
                </c:pt>
                <c:pt idx="30">
                  <c:v>-29308.16015625</c:v>
                </c:pt>
                <c:pt idx="31">
                  <c:v>-12669.349609375</c:v>
                </c:pt>
                <c:pt idx="32">
                  <c:v>3349.19873046875</c:v>
                </c:pt>
                <c:pt idx="33">
                  <c:v>20147.1328125</c:v>
                </c:pt>
                <c:pt idx="34">
                  <c:v>39174.1953125</c:v>
                </c:pt>
                <c:pt idx="35">
                  <c:v>66977.046875</c:v>
                </c:pt>
                <c:pt idx="36">
                  <c:v>84036.2578125</c:v>
                </c:pt>
                <c:pt idx="37">
                  <c:v>88164.5</c:v>
                </c:pt>
                <c:pt idx="38">
                  <c:v>83783.8671875</c:v>
                </c:pt>
                <c:pt idx="39">
                  <c:v>84361.4765625</c:v>
                </c:pt>
                <c:pt idx="40">
                  <c:v>95867.921875</c:v>
                </c:pt>
                <c:pt idx="41">
                  <c:v>106913.8671875</c:v>
                </c:pt>
                <c:pt idx="42">
                  <c:v>100757.140625</c:v>
                </c:pt>
                <c:pt idx="43">
                  <c:v>111720.125</c:v>
                </c:pt>
                <c:pt idx="44">
                  <c:v>104856.4921875</c:v>
                </c:pt>
                <c:pt idx="45">
                  <c:v>82257.296875</c:v>
                </c:pt>
                <c:pt idx="46">
                  <c:v>69714.5078125</c:v>
                </c:pt>
                <c:pt idx="47">
                  <c:v>58928.98046875</c:v>
                </c:pt>
                <c:pt idx="48">
                  <c:v>52329.7421875</c:v>
                </c:pt>
                <c:pt idx="49">
                  <c:v>48244.84375</c:v>
                </c:pt>
                <c:pt idx="50">
                  <c:v>40822.734375</c:v>
                </c:pt>
                <c:pt idx="51">
                  <c:v>39572.24609375</c:v>
                </c:pt>
                <c:pt idx="52">
                  <c:v>38920.43359375</c:v>
                </c:pt>
                <c:pt idx="53">
                  <c:v>38053.3359375</c:v>
                </c:pt>
                <c:pt idx="54">
                  <c:v>37709.1796875</c:v>
                </c:pt>
                <c:pt idx="55">
                  <c:v>38333.85546875</c:v>
                </c:pt>
                <c:pt idx="56">
                  <c:v>39674.109375</c:v>
                </c:pt>
                <c:pt idx="57">
                  <c:v>37770.76953125</c:v>
                </c:pt>
                <c:pt idx="58">
                  <c:v>39945.70703125</c:v>
                </c:pt>
                <c:pt idx="59">
                  <c:v>45694.8515625</c:v>
                </c:pt>
                <c:pt idx="60">
                  <c:v>48776.71875</c:v>
                </c:pt>
                <c:pt idx="61">
                  <c:v>48218.828125</c:v>
                </c:pt>
                <c:pt idx="62">
                  <c:v>44219.53515625</c:v>
                </c:pt>
                <c:pt idx="63">
                  <c:v>36570.9609375</c:v>
                </c:pt>
                <c:pt idx="64">
                  <c:v>32893.80859375</c:v>
                </c:pt>
                <c:pt idx="65">
                  <c:v>24810.8515625</c:v>
                </c:pt>
                <c:pt idx="66">
                  <c:v>13306.6474609375</c:v>
                </c:pt>
                <c:pt idx="67">
                  <c:v>9455.3818359375</c:v>
                </c:pt>
                <c:pt idx="68">
                  <c:v>33137.53125</c:v>
                </c:pt>
                <c:pt idx="69">
                  <c:v>33980.73828125</c:v>
                </c:pt>
                <c:pt idx="70">
                  <c:v>42895.2578125</c:v>
                </c:pt>
                <c:pt idx="71">
                  <c:v>34469.60546875</c:v>
                </c:pt>
                <c:pt idx="72">
                  <c:v>44915.765625</c:v>
                </c:pt>
                <c:pt idx="73">
                  <c:v>56540.53515625</c:v>
                </c:pt>
                <c:pt idx="74">
                  <c:v>59125.11328125</c:v>
                </c:pt>
                <c:pt idx="75">
                  <c:v>67524.6875</c:v>
                </c:pt>
                <c:pt idx="76">
                  <c:v>80453.7265625</c:v>
                </c:pt>
                <c:pt idx="77">
                  <c:v>96290.65625</c:v>
                </c:pt>
                <c:pt idx="78">
                  <c:v>109454.296875</c:v>
                </c:pt>
                <c:pt idx="79">
                  <c:v>121103.5703125</c:v>
                </c:pt>
                <c:pt idx="80">
                  <c:v>139852.515625</c:v>
                </c:pt>
                <c:pt idx="81">
                  <c:v>154252.3125</c:v>
                </c:pt>
                <c:pt idx="82">
                  <c:v>181317.078125</c:v>
                </c:pt>
                <c:pt idx="83">
                  <c:v>203139.359375</c:v>
                </c:pt>
                <c:pt idx="84">
                  <c:v>212311.546875</c:v>
                </c:pt>
                <c:pt idx="85">
                  <c:v>214058.703125</c:v>
                </c:pt>
                <c:pt idx="86">
                  <c:v>230186.8125</c:v>
                </c:pt>
                <c:pt idx="87">
                  <c:v>247889.75</c:v>
                </c:pt>
                <c:pt idx="88">
                  <c:v>246058.515625</c:v>
                </c:pt>
                <c:pt idx="89">
                  <c:v>238014.171875</c:v>
                </c:pt>
                <c:pt idx="90">
                  <c:v>232715.765625</c:v>
                </c:pt>
                <c:pt idx="91">
                  <c:v>214790.328125</c:v>
                </c:pt>
                <c:pt idx="92">
                  <c:v>198376.53125</c:v>
                </c:pt>
                <c:pt idx="93">
                  <c:v>178449.9375</c:v>
                </c:pt>
                <c:pt idx="94">
                  <c:v>149735.0625</c:v>
                </c:pt>
                <c:pt idx="95">
                  <c:v>129921.8828125</c:v>
                </c:pt>
                <c:pt idx="96">
                  <c:v>102955.140625</c:v>
                </c:pt>
                <c:pt idx="97">
                  <c:v>97456.90625</c:v>
                </c:pt>
                <c:pt idx="98">
                  <c:v>91597.4921875</c:v>
                </c:pt>
                <c:pt idx="99">
                  <c:v>80869.78125</c:v>
                </c:pt>
                <c:pt idx="100">
                  <c:v>72713.0859375</c:v>
                </c:pt>
                <c:pt idx="101">
                  <c:v>83723</c:v>
                </c:pt>
                <c:pt idx="102">
                  <c:v>78651.5625</c:v>
                </c:pt>
                <c:pt idx="103">
                  <c:v>75410.1015625</c:v>
                </c:pt>
                <c:pt idx="104">
                  <c:v>64532.515625</c:v>
                </c:pt>
                <c:pt idx="105">
                  <c:v>58808.09375</c:v>
                </c:pt>
                <c:pt idx="106">
                  <c:v>58538.83984375</c:v>
                </c:pt>
                <c:pt idx="107">
                  <c:v>54527.40234375</c:v>
                </c:pt>
                <c:pt idx="108">
                  <c:v>50538.75390625</c:v>
                </c:pt>
                <c:pt idx="109">
                  <c:v>59915.2578125</c:v>
                </c:pt>
                <c:pt idx="110">
                  <c:v>46907.15234375</c:v>
                </c:pt>
                <c:pt idx="111">
                  <c:v>31085.13671875</c:v>
                </c:pt>
                <c:pt idx="112">
                  <c:v>23894.470703125</c:v>
                </c:pt>
                <c:pt idx="113">
                  <c:v>22308</c:v>
                </c:pt>
                <c:pt idx="114">
                  <c:v>13090.705078125</c:v>
                </c:pt>
                <c:pt idx="115">
                  <c:v>2054.73852539062</c:v>
                </c:pt>
                <c:pt idx="116">
                  <c:v>1750.62854003906</c:v>
                </c:pt>
                <c:pt idx="117">
                  <c:v>-12032.2138671875</c:v>
                </c:pt>
                <c:pt idx="118">
                  <c:v>-17388.275390625</c:v>
                </c:pt>
                <c:pt idx="119">
                  <c:v>-21427.40625</c:v>
                </c:pt>
                <c:pt idx="120">
                  <c:v>-28988.2421875</c:v>
                </c:pt>
                <c:pt idx="121">
                  <c:v>-30219.234375</c:v>
                </c:pt>
                <c:pt idx="122">
                  <c:v>-29286.1953125</c:v>
                </c:pt>
                <c:pt idx="123">
                  <c:v>-8717.029296875</c:v>
                </c:pt>
                <c:pt idx="124">
                  <c:v>-18082.443359375</c:v>
                </c:pt>
                <c:pt idx="125">
                  <c:v>-18918.841796875</c:v>
                </c:pt>
                <c:pt idx="126">
                  <c:v>-14100.92578125</c:v>
                </c:pt>
                <c:pt idx="127">
                  <c:v>2243.89233398437</c:v>
                </c:pt>
                <c:pt idx="128">
                  <c:v>9795.453125</c:v>
                </c:pt>
                <c:pt idx="129">
                  <c:v>14077.224609375</c:v>
                </c:pt>
                <c:pt idx="130">
                  <c:v>26639.533203125</c:v>
                </c:pt>
                <c:pt idx="131">
                  <c:v>49062.16796875</c:v>
                </c:pt>
                <c:pt idx="132">
                  <c:v>71699.4609375</c:v>
                </c:pt>
                <c:pt idx="133">
                  <c:v>75382.71875</c:v>
                </c:pt>
                <c:pt idx="134">
                  <c:v>72937.984375</c:v>
                </c:pt>
                <c:pt idx="135">
                  <c:v>68502.4453125</c:v>
                </c:pt>
                <c:pt idx="136">
                  <c:v>70121.609375</c:v>
                </c:pt>
                <c:pt idx="137">
                  <c:v>71344.28125</c:v>
                </c:pt>
                <c:pt idx="138">
                  <c:v>72788.09375</c:v>
                </c:pt>
                <c:pt idx="139">
                  <c:v>66076.1015625</c:v>
                </c:pt>
                <c:pt idx="140">
                  <c:v>68456.609375</c:v>
                </c:pt>
                <c:pt idx="141">
                  <c:v>63216.05078125</c:v>
                </c:pt>
                <c:pt idx="142">
                  <c:v>57446.68359375</c:v>
                </c:pt>
                <c:pt idx="143">
                  <c:v>50391.796875</c:v>
                </c:pt>
                <c:pt idx="144">
                  <c:v>42645.1171875</c:v>
                </c:pt>
                <c:pt idx="145">
                  <c:v>42129.55078125</c:v>
                </c:pt>
                <c:pt idx="146">
                  <c:v>38304.328125</c:v>
                </c:pt>
                <c:pt idx="147">
                  <c:v>37879.671875</c:v>
                </c:pt>
                <c:pt idx="148">
                  <c:v>39798.015625</c:v>
                </c:pt>
                <c:pt idx="149">
                  <c:v>33047.29296875</c:v>
                </c:pt>
                <c:pt idx="150">
                  <c:v>33706.09375</c:v>
                </c:pt>
                <c:pt idx="151">
                  <c:v>33321.69921875</c:v>
                </c:pt>
                <c:pt idx="152">
                  <c:v>31473.521484375</c:v>
                </c:pt>
                <c:pt idx="153">
                  <c:v>31124.966796875</c:v>
                </c:pt>
                <c:pt idx="154">
                  <c:v>38557.95703125</c:v>
                </c:pt>
                <c:pt idx="155">
                  <c:v>43554.40234375</c:v>
                </c:pt>
                <c:pt idx="156">
                  <c:v>48945.78125</c:v>
                </c:pt>
                <c:pt idx="157">
                  <c:v>46618.921875</c:v>
                </c:pt>
                <c:pt idx="158">
                  <c:v>45549.8359375</c:v>
                </c:pt>
                <c:pt idx="159">
                  <c:v>38333.52734375</c:v>
                </c:pt>
                <c:pt idx="160">
                  <c:v>34162.20703125</c:v>
                </c:pt>
                <c:pt idx="161">
                  <c:v>33369.94921875</c:v>
                </c:pt>
                <c:pt idx="162">
                  <c:v>35600.37109375</c:v>
                </c:pt>
                <c:pt idx="163">
                  <c:v>24580.75390625</c:v>
                </c:pt>
                <c:pt idx="164">
                  <c:v>13586.94921875</c:v>
                </c:pt>
                <c:pt idx="165">
                  <c:v>17746.369140625</c:v>
                </c:pt>
                <c:pt idx="166">
                  <c:v>7090.48486328125</c:v>
                </c:pt>
                <c:pt idx="167">
                  <c:v>11080.052734375</c:v>
                </c:pt>
                <c:pt idx="168">
                  <c:v>3399.22290039062</c:v>
                </c:pt>
                <c:pt idx="169">
                  <c:v>5730.11474609375</c:v>
                </c:pt>
                <c:pt idx="170">
                  <c:v>8891.083984375</c:v>
                </c:pt>
                <c:pt idx="171">
                  <c:v>12718.5439453125</c:v>
                </c:pt>
                <c:pt idx="172">
                  <c:v>6421.6865234375</c:v>
                </c:pt>
                <c:pt idx="173">
                  <c:v>4701.00048828125</c:v>
                </c:pt>
                <c:pt idx="174">
                  <c:v>4319.541015625</c:v>
                </c:pt>
                <c:pt idx="175">
                  <c:v>11878.2724609375</c:v>
                </c:pt>
                <c:pt idx="176">
                  <c:v>12384.482421875</c:v>
                </c:pt>
                <c:pt idx="177">
                  <c:v>17906.34765625</c:v>
                </c:pt>
                <c:pt idx="178">
                  <c:v>34360.109375</c:v>
                </c:pt>
                <c:pt idx="179">
                  <c:v>47554.55859375</c:v>
                </c:pt>
                <c:pt idx="180">
                  <c:v>54669.5</c:v>
                </c:pt>
                <c:pt idx="181">
                  <c:v>58228.8046875</c:v>
                </c:pt>
                <c:pt idx="182">
                  <c:v>68071.578125</c:v>
                </c:pt>
                <c:pt idx="183">
                  <c:v>72509.796875</c:v>
                </c:pt>
                <c:pt idx="184">
                  <c:v>76576.8046875</c:v>
                </c:pt>
                <c:pt idx="185">
                  <c:v>76607.25</c:v>
                </c:pt>
                <c:pt idx="186">
                  <c:v>74418.875</c:v>
                </c:pt>
                <c:pt idx="187">
                  <c:v>67331.84375</c:v>
                </c:pt>
                <c:pt idx="188">
                  <c:v>68486.4453125</c:v>
                </c:pt>
                <c:pt idx="189">
                  <c:v>63201.4453125</c:v>
                </c:pt>
                <c:pt idx="190">
                  <c:v>60283.3359375</c:v>
                </c:pt>
                <c:pt idx="191">
                  <c:v>52601.5234375</c:v>
                </c:pt>
                <c:pt idx="192">
                  <c:v>43299.9921875</c:v>
                </c:pt>
                <c:pt idx="193">
                  <c:v>43149.33203125</c:v>
                </c:pt>
                <c:pt idx="194">
                  <c:v>39287.91796875</c:v>
                </c:pt>
                <c:pt idx="195">
                  <c:v>37013.10546875</c:v>
                </c:pt>
                <c:pt idx="196">
                  <c:v>33728.5546875</c:v>
                </c:pt>
                <c:pt idx="197">
                  <c:v>33628.6171875</c:v>
                </c:pt>
                <c:pt idx="198">
                  <c:v>36515.33203125</c:v>
                </c:pt>
                <c:pt idx="199">
                  <c:v>34660.35546875</c:v>
                </c:pt>
                <c:pt idx="200">
                  <c:v>32323.669921875</c:v>
                </c:pt>
                <c:pt idx="201">
                  <c:v>34282.0078125</c:v>
                </c:pt>
                <c:pt idx="202">
                  <c:v>39210.23046875</c:v>
                </c:pt>
                <c:pt idx="203">
                  <c:v>41612.67578125</c:v>
                </c:pt>
                <c:pt idx="204">
                  <c:v>43036.984375</c:v>
                </c:pt>
                <c:pt idx="205">
                  <c:v>43961.51171875</c:v>
                </c:pt>
                <c:pt idx="206">
                  <c:v>35670.9921875</c:v>
                </c:pt>
                <c:pt idx="207">
                  <c:v>28530.220703125</c:v>
                </c:pt>
                <c:pt idx="208">
                  <c:v>14607.1982421875</c:v>
                </c:pt>
                <c:pt idx="209">
                  <c:v>9215.7509765625</c:v>
                </c:pt>
                <c:pt idx="210">
                  <c:v>-950.335205078125</c:v>
                </c:pt>
                <c:pt idx="211">
                  <c:v>-20775.64453125</c:v>
                </c:pt>
                <c:pt idx="212">
                  <c:v>-35202.71484375</c:v>
                </c:pt>
                <c:pt idx="213">
                  <c:v>-45045.8671875</c:v>
                </c:pt>
                <c:pt idx="214">
                  <c:v>-43013.62890625</c:v>
                </c:pt>
                <c:pt idx="215">
                  <c:v>-43307.9609375</c:v>
                </c:pt>
                <c:pt idx="216">
                  <c:v>-34874.21875</c:v>
                </c:pt>
                <c:pt idx="217">
                  <c:v>-34345.5546875</c:v>
                </c:pt>
                <c:pt idx="218">
                  <c:v>-35644.76171875</c:v>
                </c:pt>
                <c:pt idx="219">
                  <c:v>-27681.751953125</c:v>
                </c:pt>
                <c:pt idx="220">
                  <c:v>-18404.732421875</c:v>
                </c:pt>
                <c:pt idx="221">
                  <c:v>-3027.1064453125</c:v>
                </c:pt>
                <c:pt idx="222">
                  <c:v>16317.841796875</c:v>
                </c:pt>
                <c:pt idx="223">
                  <c:v>17177.98828125</c:v>
                </c:pt>
                <c:pt idx="224">
                  <c:v>19872.78515625</c:v>
                </c:pt>
                <c:pt idx="225">
                  <c:v>42991.921875</c:v>
                </c:pt>
                <c:pt idx="226">
                  <c:v>65281.63671875</c:v>
                </c:pt>
                <c:pt idx="227">
                  <c:v>74854.859375</c:v>
                </c:pt>
                <c:pt idx="228">
                  <c:v>99619.40625</c:v>
                </c:pt>
                <c:pt idx="229">
                  <c:v>123363.1796875</c:v>
                </c:pt>
                <c:pt idx="230">
                  <c:v>134671.390625</c:v>
                </c:pt>
                <c:pt idx="231">
                  <c:v>137239.21875</c:v>
                </c:pt>
                <c:pt idx="232">
                  <c:v>140519.125</c:v>
                </c:pt>
                <c:pt idx="233">
                  <c:v>147631.53125</c:v>
                </c:pt>
                <c:pt idx="234">
                  <c:v>137262.640625</c:v>
                </c:pt>
                <c:pt idx="235">
                  <c:v>121605.8203125</c:v>
                </c:pt>
                <c:pt idx="236">
                  <c:v>110307.3515625</c:v>
                </c:pt>
                <c:pt idx="237">
                  <c:v>94772.2890625</c:v>
                </c:pt>
                <c:pt idx="238">
                  <c:v>93188.3046875</c:v>
                </c:pt>
                <c:pt idx="239">
                  <c:v>80335.5625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6C-496D-8852-15F8A0AD9B71}"/>
            </c:ext>
          </c:extLst>
        </c:ser>
        <c:ser>
          <c:idx val="5"/>
          <c:order val="5"/>
          <c:tx>
            <c:strRef>
              <c:f>measured_powers!$AA$252</c:f>
              <c:strCache>
                <c:ptCount val="1"/>
                <c:pt idx="0">
                  <c:v>p_652_A_W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measured_powers!$U$253:$U$492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measured_powers!$AA$253:$AA$492</c:f>
              <c:numCache>
                <c:formatCode>General</c:formatCode>
                <c:ptCount val="240"/>
                <c:pt idx="0">
                  <c:v>27685.53125</c:v>
                </c:pt>
                <c:pt idx="1">
                  <c:v>29013.703125</c:v>
                </c:pt>
                <c:pt idx="2">
                  <c:v>23934.72265625</c:v>
                </c:pt>
                <c:pt idx="3">
                  <c:v>20343.9296875</c:v>
                </c:pt>
                <c:pt idx="4">
                  <c:v>24428.775390625</c:v>
                </c:pt>
                <c:pt idx="5">
                  <c:v>23558.640625</c:v>
                </c:pt>
                <c:pt idx="6">
                  <c:v>23686.65234375</c:v>
                </c:pt>
                <c:pt idx="7">
                  <c:v>19411.65625</c:v>
                </c:pt>
                <c:pt idx="8">
                  <c:v>18387.625</c:v>
                </c:pt>
                <c:pt idx="9">
                  <c:v>18673.681640625</c:v>
                </c:pt>
                <c:pt idx="10">
                  <c:v>18593.6796875</c:v>
                </c:pt>
                <c:pt idx="11">
                  <c:v>18761.705078125</c:v>
                </c:pt>
                <c:pt idx="12">
                  <c:v>19261.7265625</c:v>
                </c:pt>
                <c:pt idx="13">
                  <c:v>20816.01171875</c:v>
                </c:pt>
                <c:pt idx="14">
                  <c:v>18835.76953125</c:v>
                </c:pt>
                <c:pt idx="15">
                  <c:v>12436.447265625</c:v>
                </c:pt>
                <c:pt idx="16">
                  <c:v>9493.87109375</c:v>
                </c:pt>
                <c:pt idx="17">
                  <c:v>6389.26123046875</c:v>
                </c:pt>
                <c:pt idx="18">
                  <c:v>256.05084228515602</c:v>
                </c:pt>
                <c:pt idx="19">
                  <c:v>-5939.1787109375</c:v>
                </c:pt>
                <c:pt idx="20">
                  <c:v>-4788.94189453125</c:v>
                </c:pt>
                <c:pt idx="21">
                  <c:v>-7831.54736328125</c:v>
                </c:pt>
                <c:pt idx="22">
                  <c:v>-16669.400390625</c:v>
                </c:pt>
                <c:pt idx="23">
                  <c:v>-17503.421875</c:v>
                </c:pt>
                <c:pt idx="24">
                  <c:v>-20061.98046875</c:v>
                </c:pt>
                <c:pt idx="25">
                  <c:v>-21918.34765625</c:v>
                </c:pt>
                <c:pt idx="26">
                  <c:v>-22026.365234375</c:v>
                </c:pt>
                <c:pt idx="27">
                  <c:v>-27419.4375</c:v>
                </c:pt>
                <c:pt idx="28">
                  <c:v>-22584.447265625</c:v>
                </c:pt>
                <c:pt idx="29">
                  <c:v>-17521.46875</c:v>
                </c:pt>
                <c:pt idx="30">
                  <c:v>-14058.7861328125</c:v>
                </c:pt>
                <c:pt idx="31">
                  <c:v>-7219.404296875</c:v>
                </c:pt>
                <c:pt idx="32">
                  <c:v>-9287.8232421875</c:v>
                </c:pt>
                <c:pt idx="33">
                  <c:v>2424.47778320312</c:v>
                </c:pt>
                <c:pt idx="34">
                  <c:v>23032.59765625</c:v>
                </c:pt>
                <c:pt idx="35">
                  <c:v>41686.1953125</c:v>
                </c:pt>
                <c:pt idx="36">
                  <c:v>47093.3203125</c:v>
                </c:pt>
                <c:pt idx="37">
                  <c:v>53514.51953125</c:v>
                </c:pt>
                <c:pt idx="38">
                  <c:v>51318.0859375</c:v>
                </c:pt>
                <c:pt idx="39">
                  <c:v>55402.80859375</c:v>
                </c:pt>
                <c:pt idx="40">
                  <c:v>52614.3359375</c:v>
                </c:pt>
                <c:pt idx="41">
                  <c:v>45384.515625</c:v>
                </c:pt>
                <c:pt idx="42">
                  <c:v>42582.23046875</c:v>
                </c:pt>
                <c:pt idx="43">
                  <c:v>45886.796875</c:v>
                </c:pt>
                <c:pt idx="44">
                  <c:v>40007.86328125</c:v>
                </c:pt>
                <c:pt idx="45">
                  <c:v>34348.7734375</c:v>
                </c:pt>
                <c:pt idx="46">
                  <c:v>25723.134765625</c:v>
                </c:pt>
                <c:pt idx="47">
                  <c:v>24820.919921875</c:v>
                </c:pt>
                <c:pt idx="48">
                  <c:v>27887.14453125</c:v>
                </c:pt>
                <c:pt idx="49">
                  <c:v>27167.353515625</c:v>
                </c:pt>
                <c:pt idx="50">
                  <c:v>22044.3046875</c:v>
                </c:pt>
                <c:pt idx="51">
                  <c:v>22188.228515625</c:v>
                </c:pt>
                <c:pt idx="52">
                  <c:v>25052.88671875</c:v>
                </c:pt>
                <c:pt idx="53">
                  <c:v>24442.798828125</c:v>
                </c:pt>
                <c:pt idx="54">
                  <c:v>23828.455078125</c:v>
                </c:pt>
                <c:pt idx="55">
                  <c:v>19219.6015625</c:v>
                </c:pt>
                <c:pt idx="56">
                  <c:v>18153.578125</c:v>
                </c:pt>
                <c:pt idx="57">
                  <c:v>18013.556640625</c:v>
                </c:pt>
                <c:pt idx="58">
                  <c:v>18121.56640625</c:v>
                </c:pt>
                <c:pt idx="59">
                  <c:v>17995.509765625</c:v>
                </c:pt>
                <c:pt idx="60">
                  <c:v>18115.4921875</c:v>
                </c:pt>
                <c:pt idx="61">
                  <c:v>19077.751953125</c:v>
                </c:pt>
                <c:pt idx="62">
                  <c:v>19601.88671875</c:v>
                </c:pt>
                <c:pt idx="63">
                  <c:v>18655.669921875</c:v>
                </c:pt>
                <c:pt idx="64">
                  <c:v>17593.474609375</c:v>
                </c:pt>
                <c:pt idx="65">
                  <c:v>13032.55859375</c:v>
                </c:pt>
                <c:pt idx="66">
                  <c:v>9627.9013671875</c:v>
                </c:pt>
                <c:pt idx="67">
                  <c:v>-276.05450439453102</c:v>
                </c:pt>
                <c:pt idx="68">
                  <c:v>-412.08151245117102</c:v>
                </c:pt>
                <c:pt idx="69">
                  <c:v>-1220.24243164062</c:v>
                </c:pt>
                <c:pt idx="70">
                  <c:v>-1184.23400878906</c:v>
                </c:pt>
                <c:pt idx="71">
                  <c:v>-3230.63696289062</c:v>
                </c:pt>
                <c:pt idx="72">
                  <c:v>3420.67602539062</c:v>
                </c:pt>
                <c:pt idx="73">
                  <c:v>4256.8408203125</c:v>
                </c:pt>
                <c:pt idx="74">
                  <c:v>8293.6142578125</c:v>
                </c:pt>
                <c:pt idx="75">
                  <c:v>24835.5234375</c:v>
                </c:pt>
                <c:pt idx="76">
                  <c:v>40405.953125</c:v>
                </c:pt>
                <c:pt idx="77">
                  <c:v>44083.73828125</c:v>
                </c:pt>
                <c:pt idx="78">
                  <c:v>56667.08203125</c:v>
                </c:pt>
                <c:pt idx="79">
                  <c:v>67475.2421875</c:v>
                </c:pt>
                <c:pt idx="80">
                  <c:v>67692.65625</c:v>
                </c:pt>
                <c:pt idx="81">
                  <c:v>86736.609375</c:v>
                </c:pt>
                <c:pt idx="82">
                  <c:v>101163.7578125</c:v>
                </c:pt>
                <c:pt idx="83">
                  <c:v>110048.296875</c:v>
                </c:pt>
                <c:pt idx="84">
                  <c:v>117702.65625</c:v>
                </c:pt>
                <c:pt idx="85">
                  <c:v>124046</c:v>
                </c:pt>
                <c:pt idx="86">
                  <c:v>129849.515625</c:v>
                </c:pt>
                <c:pt idx="87">
                  <c:v>118969.0703125</c:v>
                </c:pt>
                <c:pt idx="88">
                  <c:v>112739.8671875</c:v>
                </c:pt>
                <c:pt idx="89">
                  <c:v>114746.234375</c:v>
                </c:pt>
                <c:pt idx="90">
                  <c:v>104040.2109375</c:v>
                </c:pt>
                <c:pt idx="91">
                  <c:v>111577.7109375</c:v>
                </c:pt>
                <c:pt idx="92">
                  <c:v>89953.59375</c:v>
                </c:pt>
                <c:pt idx="93">
                  <c:v>76011.75</c:v>
                </c:pt>
                <c:pt idx="94">
                  <c:v>57201.203125</c:v>
                </c:pt>
                <c:pt idx="95">
                  <c:v>53802.421875</c:v>
                </c:pt>
                <c:pt idx="96">
                  <c:v>54492.703125</c:v>
                </c:pt>
                <c:pt idx="97">
                  <c:v>57781.7265625</c:v>
                </c:pt>
                <c:pt idx="98">
                  <c:v>51496.125</c:v>
                </c:pt>
                <c:pt idx="99">
                  <c:v>47663.109375</c:v>
                </c:pt>
                <c:pt idx="100">
                  <c:v>54876.78515625</c:v>
                </c:pt>
                <c:pt idx="101">
                  <c:v>53196.40234375</c:v>
                </c:pt>
                <c:pt idx="102">
                  <c:v>49661.8828125</c:v>
                </c:pt>
                <c:pt idx="103">
                  <c:v>41258.15625</c:v>
                </c:pt>
                <c:pt idx="104">
                  <c:v>40817.95703125</c:v>
                </c:pt>
                <c:pt idx="105">
                  <c:v>37273.265625</c:v>
                </c:pt>
                <c:pt idx="106">
                  <c:v>35626.78125</c:v>
                </c:pt>
                <c:pt idx="107">
                  <c:v>28181.1953125</c:v>
                </c:pt>
                <c:pt idx="108">
                  <c:v>23748.6484375</c:v>
                </c:pt>
                <c:pt idx="109">
                  <c:v>23336.818359375</c:v>
                </c:pt>
                <c:pt idx="110">
                  <c:v>22882.279296875</c:v>
                </c:pt>
                <c:pt idx="111">
                  <c:v>22928.55078125</c:v>
                </c:pt>
                <c:pt idx="112">
                  <c:v>18249.60546875</c:v>
                </c:pt>
                <c:pt idx="113">
                  <c:v>17531.462890625</c:v>
                </c:pt>
                <c:pt idx="114">
                  <c:v>7505.4814453125</c:v>
                </c:pt>
                <c:pt idx="115">
                  <c:v>3872.76708984375</c:v>
                </c:pt>
                <c:pt idx="116">
                  <c:v>-56.0110664367675</c:v>
                </c:pt>
                <c:pt idx="117">
                  <c:v>-2686.53100585937</c:v>
                </c:pt>
                <c:pt idx="118">
                  <c:v>-1990.38684082031</c:v>
                </c:pt>
                <c:pt idx="119">
                  <c:v>-4116.814453125</c:v>
                </c:pt>
                <c:pt idx="120">
                  <c:v>-5731.13330078125</c:v>
                </c:pt>
                <c:pt idx="121">
                  <c:v>-12396.4638671875</c:v>
                </c:pt>
                <c:pt idx="122">
                  <c:v>-12952.5615234375</c:v>
                </c:pt>
                <c:pt idx="123">
                  <c:v>-6925.39501953125</c:v>
                </c:pt>
                <c:pt idx="124">
                  <c:v>-7563.4892578125</c:v>
                </c:pt>
                <c:pt idx="125">
                  <c:v>-5927.17626953125</c:v>
                </c:pt>
                <c:pt idx="126">
                  <c:v>6.0011844635009703</c:v>
                </c:pt>
                <c:pt idx="127">
                  <c:v>4042.79223632812</c:v>
                </c:pt>
                <c:pt idx="128">
                  <c:v>10552.08203125</c:v>
                </c:pt>
                <c:pt idx="129">
                  <c:v>13502.6650390625</c:v>
                </c:pt>
                <c:pt idx="130">
                  <c:v>17747.505859375</c:v>
                </c:pt>
                <c:pt idx="131">
                  <c:v>29233.76171875</c:v>
                </c:pt>
                <c:pt idx="132">
                  <c:v>34242.6171875</c:v>
                </c:pt>
                <c:pt idx="133">
                  <c:v>33000.375</c:v>
                </c:pt>
                <c:pt idx="134">
                  <c:v>34274.7109375</c:v>
                </c:pt>
                <c:pt idx="135">
                  <c:v>33730.13671875</c:v>
                </c:pt>
                <c:pt idx="136">
                  <c:v>34800.9375</c:v>
                </c:pt>
                <c:pt idx="137">
                  <c:v>36061.09765625</c:v>
                </c:pt>
                <c:pt idx="138">
                  <c:v>31540.2109375</c:v>
                </c:pt>
                <c:pt idx="139">
                  <c:v>31594.2265625</c:v>
                </c:pt>
                <c:pt idx="140">
                  <c:v>29879.986328125</c:v>
                </c:pt>
                <c:pt idx="141">
                  <c:v>27171.3359375</c:v>
                </c:pt>
                <c:pt idx="142">
                  <c:v>25751.072265625</c:v>
                </c:pt>
                <c:pt idx="143">
                  <c:v>24650.90625</c:v>
                </c:pt>
                <c:pt idx="144">
                  <c:v>25921.115234375</c:v>
                </c:pt>
                <c:pt idx="145">
                  <c:v>27131.25</c:v>
                </c:pt>
                <c:pt idx="146">
                  <c:v>20668.103515625</c:v>
                </c:pt>
                <c:pt idx="147">
                  <c:v>20572.087890625</c:v>
                </c:pt>
                <c:pt idx="148">
                  <c:v>23190.265625</c:v>
                </c:pt>
                <c:pt idx="149">
                  <c:v>22440.359375</c:v>
                </c:pt>
                <c:pt idx="150">
                  <c:v>21822.3046875</c:v>
                </c:pt>
                <c:pt idx="151">
                  <c:v>17563.47265625</c:v>
                </c:pt>
                <c:pt idx="152">
                  <c:v>17527.453125</c:v>
                </c:pt>
                <c:pt idx="153">
                  <c:v>16067.2001953125</c:v>
                </c:pt>
                <c:pt idx="154">
                  <c:v>16091.2158203125</c:v>
                </c:pt>
                <c:pt idx="155">
                  <c:v>17539.513671875</c:v>
                </c:pt>
                <c:pt idx="156">
                  <c:v>18569.65234375</c:v>
                </c:pt>
                <c:pt idx="157">
                  <c:v>18949.697265625</c:v>
                </c:pt>
                <c:pt idx="158">
                  <c:v>21030.146484375</c:v>
                </c:pt>
                <c:pt idx="159">
                  <c:v>18219.599609375</c:v>
                </c:pt>
                <c:pt idx="160">
                  <c:v>14970.947265625</c:v>
                </c:pt>
                <c:pt idx="161">
                  <c:v>15963.1455078125</c:v>
                </c:pt>
                <c:pt idx="162">
                  <c:v>14732.9033203125</c:v>
                </c:pt>
                <c:pt idx="163">
                  <c:v>9729.91796875</c:v>
                </c:pt>
                <c:pt idx="164">
                  <c:v>5135.013671875</c:v>
                </c:pt>
                <c:pt idx="165">
                  <c:v>5893.16357421875</c:v>
                </c:pt>
                <c:pt idx="166">
                  <c:v>7039.390625</c:v>
                </c:pt>
                <c:pt idx="167">
                  <c:v>8057.5927734375</c:v>
                </c:pt>
                <c:pt idx="168">
                  <c:v>6431.26953125</c:v>
                </c:pt>
                <c:pt idx="169">
                  <c:v>2510.49609375</c:v>
                </c:pt>
                <c:pt idx="170">
                  <c:v>5056.99853515625</c:v>
                </c:pt>
                <c:pt idx="171">
                  <c:v>3158.62133789062</c:v>
                </c:pt>
                <c:pt idx="172">
                  <c:v>4722.93212890625</c:v>
                </c:pt>
                <c:pt idx="173">
                  <c:v>6533.291015625</c:v>
                </c:pt>
                <c:pt idx="174">
                  <c:v>7119.56494140625</c:v>
                </c:pt>
                <c:pt idx="175">
                  <c:v>5267.0390625</c:v>
                </c:pt>
                <c:pt idx="176">
                  <c:v>6945.373046875</c:v>
                </c:pt>
                <c:pt idx="177">
                  <c:v>9429.86328125</c:v>
                </c:pt>
                <c:pt idx="178">
                  <c:v>14448.8623046875</c:v>
                </c:pt>
                <c:pt idx="179">
                  <c:v>24886.955078125</c:v>
                </c:pt>
                <c:pt idx="180">
                  <c:v>27551.4296875</c:v>
                </c:pt>
                <c:pt idx="181">
                  <c:v>31480.208984375</c:v>
                </c:pt>
                <c:pt idx="182">
                  <c:v>30109.314453125</c:v>
                </c:pt>
                <c:pt idx="183">
                  <c:v>29999.9140625</c:v>
                </c:pt>
                <c:pt idx="184">
                  <c:v>36327.1796875</c:v>
                </c:pt>
                <c:pt idx="185">
                  <c:v>33312.53515625</c:v>
                </c:pt>
                <c:pt idx="186">
                  <c:v>31640.193359375</c:v>
                </c:pt>
                <c:pt idx="187">
                  <c:v>26973.30859375</c:v>
                </c:pt>
                <c:pt idx="188">
                  <c:v>28223.55859375</c:v>
                </c:pt>
                <c:pt idx="189">
                  <c:v>26341.189453125</c:v>
                </c:pt>
                <c:pt idx="190">
                  <c:v>26811.27734375</c:v>
                </c:pt>
                <c:pt idx="191">
                  <c:v>23166.451171875</c:v>
                </c:pt>
                <c:pt idx="192">
                  <c:v>24326.841796875</c:v>
                </c:pt>
                <c:pt idx="193">
                  <c:v>23954.470703125</c:v>
                </c:pt>
                <c:pt idx="194">
                  <c:v>21040.126953125</c:v>
                </c:pt>
                <c:pt idx="195">
                  <c:v>21206.921875</c:v>
                </c:pt>
                <c:pt idx="196">
                  <c:v>25216.970703125</c:v>
                </c:pt>
                <c:pt idx="197">
                  <c:v>23956.740234375</c:v>
                </c:pt>
                <c:pt idx="198">
                  <c:v>22810.4921875</c:v>
                </c:pt>
                <c:pt idx="199">
                  <c:v>17447.41015625</c:v>
                </c:pt>
                <c:pt idx="200">
                  <c:v>15701.0224609375</c:v>
                </c:pt>
                <c:pt idx="201">
                  <c:v>15000.9501953125</c:v>
                </c:pt>
                <c:pt idx="202">
                  <c:v>16147.212890625</c:v>
                </c:pt>
                <c:pt idx="203">
                  <c:v>15735.09375</c:v>
                </c:pt>
                <c:pt idx="204">
                  <c:v>18329.892578125</c:v>
                </c:pt>
                <c:pt idx="205">
                  <c:v>21376.21875</c:v>
                </c:pt>
                <c:pt idx="206">
                  <c:v>19465.841796875</c:v>
                </c:pt>
                <c:pt idx="207">
                  <c:v>20464.029296875</c:v>
                </c:pt>
                <c:pt idx="208">
                  <c:v>12005.931640625</c:v>
                </c:pt>
                <c:pt idx="209">
                  <c:v>5439.05517578125</c:v>
                </c:pt>
                <c:pt idx="210">
                  <c:v>-1196.23620605468</c:v>
                </c:pt>
                <c:pt idx="211">
                  <c:v>-7045.3994140625</c:v>
                </c:pt>
                <c:pt idx="212">
                  <c:v>-14174.7998046875</c:v>
                </c:pt>
                <c:pt idx="213">
                  <c:v>-16299.2275390625</c:v>
                </c:pt>
                <c:pt idx="214">
                  <c:v>-24008.783203125</c:v>
                </c:pt>
                <c:pt idx="215">
                  <c:v>-16495.271484375</c:v>
                </c:pt>
                <c:pt idx="216">
                  <c:v>-13854.7451171875</c:v>
                </c:pt>
                <c:pt idx="217">
                  <c:v>-20145.9921875</c:v>
                </c:pt>
                <c:pt idx="218">
                  <c:v>-18969.765625</c:v>
                </c:pt>
                <c:pt idx="219">
                  <c:v>-17281.951171875</c:v>
                </c:pt>
                <c:pt idx="220">
                  <c:v>-11058.197265625</c:v>
                </c:pt>
                <c:pt idx="221">
                  <c:v>-8765.7197265625</c:v>
                </c:pt>
                <c:pt idx="222">
                  <c:v>-254.05032348632801</c:v>
                </c:pt>
                <c:pt idx="223">
                  <c:v>9943.947265625</c:v>
                </c:pt>
                <c:pt idx="224">
                  <c:v>22598.4921875</c:v>
                </c:pt>
                <c:pt idx="225">
                  <c:v>32892.5</c:v>
                </c:pt>
                <c:pt idx="226">
                  <c:v>37615.37109375</c:v>
                </c:pt>
                <c:pt idx="227">
                  <c:v>45228.8359375</c:v>
                </c:pt>
                <c:pt idx="228">
                  <c:v>54488.40625</c:v>
                </c:pt>
                <c:pt idx="229">
                  <c:v>65465.21484375</c:v>
                </c:pt>
                <c:pt idx="230">
                  <c:v>69071.0078125</c:v>
                </c:pt>
                <c:pt idx="231">
                  <c:v>66536.4609375</c:v>
                </c:pt>
                <c:pt idx="232">
                  <c:v>63601.953125</c:v>
                </c:pt>
                <c:pt idx="233">
                  <c:v>61229.26171875</c:v>
                </c:pt>
                <c:pt idx="234">
                  <c:v>62992.2578125</c:v>
                </c:pt>
                <c:pt idx="235">
                  <c:v>58993.3359375</c:v>
                </c:pt>
                <c:pt idx="236">
                  <c:v>55901.0390625</c:v>
                </c:pt>
                <c:pt idx="237">
                  <c:v>51387.75390625</c:v>
                </c:pt>
                <c:pt idx="238">
                  <c:v>47971.44921875</c:v>
                </c:pt>
                <c:pt idx="239">
                  <c:v>38367.37109375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6C-496D-8852-15F8A0AD9B71}"/>
            </c:ext>
          </c:extLst>
        </c:ser>
        <c:ser>
          <c:idx val="6"/>
          <c:order val="6"/>
          <c:tx>
            <c:strRef>
              <c:f>measured_powers!$AB$252</c:f>
              <c:strCache>
                <c:ptCount val="1"/>
                <c:pt idx="0">
                  <c:v>p_671_A_W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measured_powers!$U$253:$U$492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measured_powers!$AB$253:$AB$492</c:f>
              <c:numCache>
                <c:formatCode>General</c:formatCode>
                <c:ptCount val="240"/>
                <c:pt idx="0">
                  <c:v>96272.4140625</c:v>
                </c:pt>
                <c:pt idx="1">
                  <c:v>87418.4140625</c:v>
                </c:pt>
                <c:pt idx="2">
                  <c:v>74641.4296875</c:v>
                </c:pt>
                <c:pt idx="3">
                  <c:v>72785.625</c:v>
                </c:pt>
                <c:pt idx="4">
                  <c:v>63790.77734375</c:v>
                </c:pt>
                <c:pt idx="5">
                  <c:v>64896.75</c:v>
                </c:pt>
                <c:pt idx="6">
                  <c:v>64168.96875</c:v>
                </c:pt>
                <c:pt idx="7">
                  <c:v>65208.9609375</c:v>
                </c:pt>
                <c:pt idx="8">
                  <c:v>66223.453125</c:v>
                </c:pt>
                <c:pt idx="9">
                  <c:v>66645.546875</c:v>
                </c:pt>
                <c:pt idx="10">
                  <c:v>74917.484375</c:v>
                </c:pt>
                <c:pt idx="11">
                  <c:v>75375.5546875</c:v>
                </c:pt>
                <c:pt idx="12">
                  <c:v>73387.453125</c:v>
                </c:pt>
                <c:pt idx="13">
                  <c:v>71120.015625</c:v>
                </c:pt>
                <c:pt idx="14">
                  <c:v>66114.34375</c:v>
                </c:pt>
                <c:pt idx="15">
                  <c:v>50059.671875</c:v>
                </c:pt>
                <c:pt idx="16">
                  <c:v>39035.11328125</c:v>
                </c:pt>
                <c:pt idx="17">
                  <c:v>33055.7109375</c:v>
                </c:pt>
                <c:pt idx="18">
                  <c:v>6769.576171875</c:v>
                </c:pt>
                <c:pt idx="19">
                  <c:v>-11262.6240234375</c:v>
                </c:pt>
                <c:pt idx="20">
                  <c:v>-28876.703125</c:v>
                </c:pt>
                <c:pt idx="21">
                  <c:v>-46858.88671875</c:v>
                </c:pt>
                <c:pt idx="22">
                  <c:v>-62971.0703125</c:v>
                </c:pt>
                <c:pt idx="23">
                  <c:v>-64672.359375</c:v>
                </c:pt>
                <c:pt idx="24">
                  <c:v>-68839.578125</c:v>
                </c:pt>
                <c:pt idx="25">
                  <c:v>-70948.4765625</c:v>
                </c:pt>
                <c:pt idx="26">
                  <c:v>-77798.0703125</c:v>
                </c:pt>
                <c:pt idx="27">
                  <c:v>-78650.25</c:v>
                </c:pt>
                <c:pt idx="28">
                  <c:v>-69512.109375</c:v>
                </c:pt>
                <c:pt idx="29">
                  <c:v>-60109.953125</c:v>
                </c:pt>
                <c:pt idx="30">
                  <c:v>-32625.580078125</c:v>
                </c:pt>
                <c:pt idx="31">
                  <c:v>-11959.0390625</c:v>
                </c:pt>
                <c:pt idx="32">
                  <c:v>6857.59716796875</c:v>
                </c:pt>
                <c:pt idx="33">
                  <c:v>32705.6328125</c:v>
                </c:pt>
                <c:pt idx="34">
                  <c:v>65208.6015625</c:v>
                </c:pt>
                <c:pt idx="35">
                  <c:v>106745.015625</c:v>
                </c:pt>
                <c:pt idx="36">
                  <c:v>133615.3125</c:v>
                </c:pt>
                <c:pt idx="37">
                  <c:v>156590.734375</c:v>
                </c:pt>
                <c:pt idx="38">
                  <c:v>152791.796875</c:v>
                </c:pt>
                <c:pt idx="39">
                  <c:v>146594.34375</c:v>
                </c:pt>
                <c:pt idx="40">
                  <c:v>150663.34375</c:v>
                </c:pt>
                <c:pt idx="41">
                  <c:v>162973.171875</c:v>
                </c:pt>
                <c:pt idx="42">
                  <c:v>153888.859375</c:v>
                </c:pt>
                <c:pt idx="43">
                  <c:v>163343.4375</c:v>
                </c:pt>
                <c:pt idx="44">
                  <c:v>151779.625</c:v>
                </c:pt>
                <c:pt idx="45">
                  <c:v>128100.015625</c:v>
                </c:pt>
                <c:pt idx="46">
                  <c:v>111738.265625</c:v>
                </c:pt>
                <c:pt idx="47">
                  <c:v>100986.96875</c:v>
                </c:pt>
                <c:pt idx="48">
                  <c:v>96305.9921875</c:v>
                </c:pt>
                <c:pt idx="49">
                  <c:v>86854.265625</c:v>
                </c:pt>
                <c:pt idx="50">
                  <c:v>74157.2578125</c:v>
                </c:pt>
                <c:pt idx="51">
                  <c:v>68948.5546875</c:v>
                </c:pt>
                <c:pt idx="52">
                  <c:v>70042.2109375</c:v>
                </c:pt>
                <c:pt idx="53">
                  <c:v>66101.0078125</c:v>
                </c:pt>
                <c:pt idx="54">
                  <c:v>67029.34375</c:v>
                </c:pt>
                <c:pt idx="55">
                  <c:v>71501.0390625</c:v>
                </c:pt>
                <c:pt idx="56">
                  <c:v>72598.9453125</c:v>
                </c:pt>
                <c:pt idx="57">
                  <c:v>72330.875</c:v>
                </c:pt>
                <c:pt idx="58">
                  <c:v>71688.71875</c:v>
                </c:pt>
                <c:pt idx="59">
                  <c:v>76291.7265625</c:v>
                </c:pt>
                <c:pt idx="60">
                  <c:v>77250.4375</c:v>
                </c:pt>
                <c:pt idx="61">
                  <c:v>75615.671875</c:v>
                </c:pt>
                <c:pt idx="62">
                  <c:v>66115.0703125</c:v>
                </c:pt>
                <c:pt idx="63">
                  <c:v>53496.48828125</c:v>
                </c:pt>
                <c:pt idx="64">
                  <c:v>51540.02734375</c:v>
                </c:pt>
                <c:pt idx="65">
                  <c:v>31973.44921875</c:v>
                </c:pt>
                <c:pt idx="66">
                  <c:v>18258.2578125</c:v>
                </c:pt>
                <c:pt idx="67">
                  <c:v>10430.3564453125</c:v>
                </c:pt>
                <c:pt idx="68">
                  <c:v>42341.859375</c:v>
                </c:pt>
                <c:pt idx="69">
                  <c:v>45078.5078125</c:v>
                </c:pt>
                <c:pt idx="70">
                  <c:v>48985.40625</c:v>
                </c:pt>
                <c:pt idx="71">
                  <c:v>41099.60546875</c:v>
                </c:pt>
                <c:pt idx="72">
                  <c:v>57435.390625</c:v>
                </c:pt>
                <c:pt idx="73">
                  <c:v>80046.7265625</c:v>
                </c:pt>
                <c:pt idx="74">
                  <c:v>87698.234375</c:v>
                </c:pt>
                <c:pt idx="75">
                  <c:v>105174.234375</c:v>
                </c:pt>
                <c:pt idx="76">
                  <c:v>134073.40625</c:v>
                </c:pt>
                <c:pt idx="77">
                  <c:v>172943</c:v>
                </c:pt>
                <c:pt idx="78">
                  <c:v>182354.8125</c:v>
                </c:pt>
                <c:pt idx="79">
                  <c:v>194619.703125</c:v>
                </c:pt>
                <c:pt idx="80">
                  <c:v>216179.765625</c:v>
                </c:pt>
                <c:pt idx="81">
                  <c:v>251141.78125</c:v>
                </c:pt>
                <c:pt idx="82">
                  <c:v>290002.875</c:v>
                </c:pt>
                <c:pt idx="83">
                  <c:v>325677.5625</c:v>
                </c:pt>
                <c:pt idx="84">
                  <c:v>355674.75</c:v>
                </c:pt>
                <c:pt idx="85">
                  <c:v>350052.40625</c:v>
                </c:pt>
                <c:pt idx="86">
                  <c:v>376136.9375</c:v>
                </c:pt>
                <c:pt idx="87">
                  <c:v>394497.21875</c:v>
                </c:pt>
                <c:pt idx="88">
                  <c:v>394092.375</c:v>
                </c:pt>
                <c:pt idx="89">
                  <c:v>377224.3125</c:v>
                </c:pt>
                <c:pt idx="90">
                  <c:v>362338.65625</c:v>
                </c:pt>
                <c:pt idx="91">
                  <c:v>340591.375</c:v>
                </c:pt>
                <c:pt idx="92">
                  <c:v>294828.46875</c:v>
                </c:pt>
                <c:pt idx="93">
                  <c:v>266684.09375</c:v>
                </c:pt>
                <c:pt idx="94">
                  <c:v>228687.796875</c:v>
                </c:pt>
                <c:pt idx="95">
                  <c:v>208739.046875</c:v>
                </c:pt>
                <c:pt idx="96">
                  <c:v>173562.859375</c:v>
                </c:pt>
                <c:pt idx="97">
                  <c:v>168962.640625</c:v>
                </c:pt>
                <c:pt idx="98">
                  <c:v>156122.671875</c:v>
                </c:pt>
                <c:pt idx="99">
                  <c:v>140348.765625</c:v>
                </c:pt>
                <c:pt idx="100">
                  <c:v>134105.5625</c:v>
                </c:pt>
                <c:pt idx="101">
                  <c:v>140448.484375</c:v>
                </c:pt>
                <c:pt idx="102">
                  <c:v>133065.359375</c:v>
                </c:pt>
                <c:pt idx="103">
                  <c:v>129530.390625</c:v>
                </c:pt>
                <c:pt idx="104">
                  <c:v>119137.890625</c:v>
                </c:pt>
                <c:pt idx="105">
                  <c:v>114862.875</c:v>
                </c:pt>
                <c:pt idx="106">
                  <c:v>109823.1796875</c:v>
                </c:pt>
                <c:pt idx="107">
                  <c:v>101447.0625</c:v>
                </c:pt>
                <c:pt idx="108">
                  <c:v>93767.8359375</c:v>
                </c:pt>
                <c:pt idx="109">
                  <c:v>99215.7109375</c:v>
                </c:pt>
                <c:pt idx="110">
                  <c:v>80428.4609375</c:v>
                </c:pt>
                <c:pt idx="111">
                  <c:v>60479.76171875</c:v>
                </c:pt>
                <c:pt idx="112">
                  <c:v>53308.453125</c:v>
                </c:pt>
                <c:pt idx="113">
                  <c:v>44446.3671875</c:v>
                </c:pt>
                <c:pt idx="114">
                  <c:v>29730.927734375</c:v>
                </c:pt>
                <c:pt idx="115">
                  <c:v>13591.9091796875</c:v>
                </c:pt>
                <c:pt idx="116">
                  <c:v>12642.9384765625</c:v>
                </c:pt>
                <c:pt idx="117">
                  <c:v>-5017.16552734375</c:v>
                </c:pt>
                <c:pt idx="118">
                  <c:v>-16649.916015625</c:v>
                </c:pt>
                <c:pt idx="119">
                  <c:v>-16489.841796875</c:v>
                </c:pt>
                <c:pt idx="120">
                  <c:v>-24947.80859375</c:v>
                </c:pt>
                <c:pt idx="121">
                  <c:v>-32423.580078125</c:v>
                </c:pt>
                <c:pt idx="122">
                  <c:v>-40209.34375</c:v>
                </c:pt>
                <c:pt idx="123">
                  <c:v>-17210.03125</c:v>
                </c:pt>
                <c:pt idx="124">
                  <c:v>-23885.537109375</c:v>
                </c:pt>
                <c:pt idx="125">
                  <c:v>-23207.392578125</c:v>
                </c:pt>
                <c:pt idx="126">
                  <c:v>-19728.583984375</c:v>
                </c:pt>
                <c:pt idx="127">
                  <c:v>10348.408203125</c:v>
                </c:pt>
                <c:pt idx="128">
                  <c:v>22975.359375</c:v>
                </c:pt>
                <c:pt idx="129">
                  <c:v>29290.828125</c:v>
                </c:pt>
                <c:pt idx="130">
                  <c:v>52750.31640625</c:v>
                </c:pt>
                <c:pt idx="131">
                  <c:v>76265.8359375</c:v>
                </c:pt>
                <c:pt idx="132">
                  <c:v>107982.84375</c:v>
                </c:pt>
                <c:pt idx="133">
                  <c:v>119379.4296875</c:v>
                </c:pt>
                <c:pt idx="134">
                  <c:v>116972.5390625</c:v>
                </c:pt>
                <c:pt idx="135">
                  <c:v>113631.7265625</c:v>
                </c:pt>
                <c:pt idx="136">
                  <c:v>111358.25</c:v>
                </c:pt>
                <c:pt idx="137">
                  <c:v>114644.875</c:v>
                </c:pt>
                <c:pt idx="138">
                  <c:v>112054.2578125</c:v>
                </c:pt>
                <c:pt idx="139">
                  <c:v>104404.3984375</c:v>
                </c:pt>
                <c:pt idx="140">
                  <c:v>107126.28125</c:v>
                </c:pt>
                <c:pt idx="141">
                  <c:v>102591.3203125</c:v>
                </c:pt>
                <c:pt idx="142">
                  <c:v>91703.40625</c:v>
                </c:pt>
                <c:pt idx="143">
                  <c:v>85906.109375</c:v>
                </c:pt>
                <c:pt idx="144">
                  <c:v>80138.703125</c:v>
                </c:pt>
                <c:pt idx="145">
                  <c:v>77753.96875</c:v>
                </c:pt>
                <c:pt idx="146">
                  <c:v>66575.1640625</c:v>
                </c:pt>
                <c:pt idx="147">
                  <c:v>64859.19140625</c:v>
                </c:pt>
                <c:pt idx="148">
                  <c:v>67213.9921875</c:v>
                </c:pt>
                <c:pt idx="149">
                  <c:v>59195.87109375</c:v>
                </c:pt>
                <c:pt idx="150">
                  <c:v>58175.56640625</c:v>
                </c:pt>
                <c:pt idx="151">
                  <c:v>58607.6640625</c:v>
                </c:pt>
                <c:pt idx="152">
                  <c:v>57525.40625</c:v>
                </c:pt>
                <c:pt idx="153">
                  <c:v>55267.4609375</c:v>
                </c:pt>
                <c:pt idx="154">
                  <c:v>63701.03125</c:v>
                </c:pt>
                <c:pt idx="155">
                  <c:v>68179.71875</c:v>
                </c:pt>
                <c:pt idx="156">
                  <c:v>73908.7734375</c:v>
                </c:pt>
                <c:pt idx="157">
                  <c:v>74867.8515625</c:v>
                </c:pt>
                <c:pt idx="158">
                  <c:v>73795.234375</c:v>
                </c:pt>
                <c:pt idx="159">
                  <c:v>64895.15234375</c:v>
                </c:pt>
                <c:pt idx="160">
                  <c:v>56927.2734375</c:v>
                </c:pt>
                <c:pt idx="161">
                  <c:v>54466.6875</c:v>
                </c:pt>
                <c:pt idx="162">
                  <c:v>54688.7421875</c:v>
                </c:pt>
                <c:pt idx="163">
                  <c:v>45672.37890625</c:v>
                </c:pt>
                <c:pt idx="164">
                  <c:v>31545.3671875</c:v>
                </c:pt>
                <c:pt idx="165">
                  <c:v>31561.36328125</c:v>
                </c:pt>
                <c:pt idx="166">
                  <c:v>17780.146484375</c:v>
                </c:pt>
                <c:pt idx="167">
                  <c:v>17200.005859375</c:v>
                </c:pt>
                <c:pt idx="168">
                  <c:v>4194.95068359375</c:v>
                </c:pt>
                <c:pt idx="169">
                  <c:v>8043.8203125</c:v>
                </c:pt>
                <c:pt idx="170">
                  <c:v>13833.216796875</c:v>
                </c:pt>
                <c:pt idx="171">
                  <c:v>19110.435546875</c:v>
                </c:pt>
                <c:pt idx="172">
                  <c:v>11858.7646484375</c:v>
                </c:pt>
                <c:pt idx="173">
                  <c:v>8125.89453125</c:v>
                </c:pt>
                <c:pt idx="174">
                  <c:v>3732.87060546875</c:v>
                </c:pt>
                <c:pt idx="175">
                  <c:v>13917.240234375</c:v>
                </c:pt>
                <c:pt idx="176">
                  <c:v>16513.845703125</c:v>
                </c:pt>
                <c:pt idx="177">
                  <c:v>26120.078125</c:v>
                </c:pt>
                <c:pt idx="178">
                  <c:v>54224.625</c:v>
                </c:pt>
                <c:pt idx="179">
                  <c:v>76407.8359375</c:v>
                </c:pt>
                <c:pt idx="180">
                  <c:v>88568.6640625</c:v>
                </c:pt>
                <c:pt idx="181">
                  <c:v>93891.8984375</c:v>
                </c:pt>
                <c:pt idx="182">
                  <c:v>107611.671875</c:v>
                </c:pt>
                <c:pt idx="183">
                  <c:v>113078.4765625</c:v>
                </c:pt>
                <c:pt idx="184">
                  <c:v>122328.6640625</c:v>
                </c:pt>
                <c:pt idx="185">
                  <c:v>122488.671875</c:v>
                </c:pt>
                <c:pt idx="186">
                  <c:v>117929.5859375</c:v>
                </c:pt>
                <c:pt idx="187">
                  <c:v>108282.640625</c:v>
                </c:pt>
                <c:pt idx="188">
                  <c:v>107891.21875</c:v>
                </c:pt>
                <c:pt idx="189">
                  <c:v>101703.75</c:v>
                </c:pt>
                <c:pt idx="190">
                  <c:v>93989.921875</c:v>
                </c:pt>
                <c:pt idx="191">
                  <c:v>84256.640625</c:v>
                </c:pt>
                <c:pt idx="192">
                  <c:v>76855.1640625</c:v>
                </c:pt>
                <c:pt idx="193">
                  <c:v>76302.9609375</c:v>
                </c:pt>
                <c:pt idx="194">
                  <c:v>67981.859375</c:v>
                </c:pt>
                <c:pt idx="195">
                  <c:v>64267.2734375</c:v>
                </c:pt>
                <c:pt idx="196">
                  <c:v>58553.65234375</c:v>
                </c:pt>
                <c:pt idx="197">
                  <c:v>56161.09765625</c:v>
                </c:pt>
                <c:pt idx="198">
                  <c:v>59903.9609375</c:v>
                </c:pt>
                <c:pt idx="199">
                  <c:v>56172.984375</c:v>
                </c:pt>
                <c:pt idx="200">
                  <c:v>55547.77734375</c:v>
                </c:pt>
                <c:pt idx="201">
                  <c:v>57173.34375</c:v>
                </c:pt>
                <c:pt idx="202">
                  <c:v>62608.6484375</c:v>
                </c:pt>
                <c:pt idx="203">
                  <c:v>65185.19921875</c:v>
                </c:pt>
                <c:pt idx="204">
                  <c:v>66899.9140625</c:v>
                </c:pt>
                <c:pt idx="205">
                  <c:v>66125.4296875</c:v>
                </c:pt>
                <c:pt idx="206">
                  <c:v>58903.73828125</c:v>
                </c:pt>
                <c:pt idx="207">
                  <c:v>48285.2578125</c:v>
                </c:pt>
                <c:pt idx="208">
                  <c:v>26758.2890625</c:v>
                </c:pt>
                <c:pt idx="209">
                  <c:v>11689.1123046875</c:v>
                </c:pt>
                <c:pt idx="210">
                  <c:v>-4080.95190429687</c:v>
                </c:pt>
                <c:pt idx="211">
                  <c:v>-28154.572265625</c:v>
                </c:pt>
                <c:pt idx="212">
                  <c:v>-52926.2734375</c:v>
                </c:pt>
                <c:pt idx="213">
                  <c:v>-68103.8203125</c:v>
                </c:pt>
                <c:pt idx="214">
                  <c:v>-60710.10546875</c:v>
                </c:pt>
                <c:pt idx="215">
                  <c:v>-63694.7578125</c:v>
                </c:pt>
                <c:pt idx="216">
                  <c:v>-54786.72265625</c:v>
                </c:pt>
                <c:pt idx="217">
                  <c:v>-52388.14453125</c:v>
                </c:pt>
                <c:pt idx="218">
                  <c:v>-54450.63671875</c:v>
                </c:pt>
                <c:pt idx="219">
                  <c:v>-45466.4296875</c:v>
                </c:pt>
                <c:pt idx="220">
                  <c:v>-18082.20703125</c:v>
                </c:pt>
                <c:pt idx="221">
                  <c:v>1236.28698730468</c:v>
                </c:pt>
                <c:pt idx="222">
                  <c:v>29332.830078125</c:v>
                </c:pt>
                <c:pt idx="223">
                  <c:v>35396.23046875</c:v>
                </c:pt>
                <c:pt idx="224">
                  <c:v>37364.72265625</c:v>
                </c:pt>
                <c:pt idx="225">
                  <c:v>83859.5390625</c:v>
                </c:pt>
                <c:pt idx="226">
                  <c:v>127625.3828125</c:v>
                </c:pt>
                <c:pt idx="227">
                  <c:v>150100.984375</c:v>
                </c:pt>
                <c:pt idx="228">
                  <c:v>189776.359375</c:v>
                </c:pt>
                <c:pt idx="229">
                  <c:v>218363.953125</c:v>
                </c:pt>
                <c:pt idx="230">
                  <c:v>243425.390625</c:v>
                </c:pt>
                <c:pt idx="231">
                  <c:v>249218.515625</c:v>
                </c:pt>
                <c:pt idx="232">
                  <c:v>250171.875</c:v>
                </c:pt>
                <c:pt idx="233">
                  <c:v>252774.0625</c:v>
                </c:pt>
                <c:pt idx="234">
                  <c:v>234683.890625</c:v>
                </c:pt>
                <c:pt idx="235">
                  <c:v>210413.890625</c:v>
                </c:pt>
                <c:pt idx="236">
                  <c:v>189242.546875</c:v>
                </c:pt>
                <c:pt idx="237">
                  <c:v>165367.234375</c:v>
                </c:pt>
                <c:pt idx="238">
                  <c:v>161262</c:v>
                </c:pt>
                <c:pt idx="239">
                  <c:v>145971.578125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6C-496D-8852-15F8A0AD9B71}"/>
            </c:ext>
          </c:extLst>
        </c:ser>
        <c:ser>
          <c:idx val="7"/>
          <c:order val="7"/>
          <c:tx>
            <c:strRef>
              <c:f>measured_powers!$AC$252</c:f>
              <c:strCache>
                <c:ptCount val="1"/>
                <c:pt idx="0">
                  <c:v>p_671_B_W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measured_powers!$U$253:$U$492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measured_powers!$AC$253:$AC$492</c:f>
              <c:numCache>
                <c:formatCode>General</c:formatCode>
                <c:ptCount val="240"/>
                <c:pt idx="0">
                  <c:v>86422.8671875</c:v>
                </c:pt>
                <c:pt idx="1">
                  <c:v>88301.546875</c:v>
                </c:pt>
                <c:pt idx="2">
                  <c:v>76381.25</c:v>
                </c:pt>
                <c:pt idx="3">
                  <c:v>68606.3125</c:v>
                </c:pt>
                <c:pt idx="4">
                  <c:v>70383.1015625</c:v>
                </c:pt>
                <c:pt idx="5">
                  <c:v>68950.609375</c:v>
                </c:pt>
                <c:pt idx="6">
                  <c:v>66901.8515625</c:v>
                </c:pt>
                <c:pt idx="7">
                  <c:v>63869.69921875</c:v>
                </c:pt>
                <c:pt idx="8">
                  <c:v>64679.078125</c:v>
                </c:pt>
                <c:pt idx="9">
                  <c:v>62862.4375</c:v>
                </c:pt>
                <c:pt idx="10">
                  <c:v>61401.890625</c:v>
                </c:pt>
                <c:pt idx="11">
                  <c:v>62320.25390625</c:v>
                </c:pt>
                <c:pt idx="12">
                  <c:v>63343.8046875</c:v>
                </c:pt>
                <c:pt idx="13">
                  <c:v>66965.28125</c:v>
                </c:pt>
                <c:pt idx="14">
                  <c:v>66529.7578125</c:v>
                </c:pt>
                <c:pt idx="15">
                  <c:v>44387.85546875</c:v>
                </c:pt>
                <c:pt idx="16">
                  <c:v>33029.78515625</c:v>
                </c:pt>
                <c:pt idx="17">
                  <c:v>14437.1513671875</c:v>
                </c:pt>
                <c:pt idx="18">
                  <c:v>-6958.48681640625</c:v>
                </c:pt>
                <c:pt idx="19">
                  <c:v>-28148.044921875</c:v>
                </c:pt>
                <c:pt idx="20">
                  <c:v>-37581.41015625</c:v>
                </c:pt>
                <c:pt idx="21">
                  <c:v>-54933.60546875</c:v>
                </c:pt>
                <c:pt idx="22">
                  <c:v>-73553.359375</c:v>
                </c:pt>
                <c:pt idx="23">
                  <c:v>-70657.2265625</c:v>
                </c:pt>
                <c:pt idx="24">
                  <c:v>-70891.328125</c:v>
                </c:pt>
                <c:pt idx="25">
                  <c:v>-73519.953125</c:v>
                </c:pt>
                <c:pt idx="26">
                  <c:v>-74612.6484375</c:v>
                </c:pt>
                <c:pt idx="27">
                  <c:v>-84106.03125</c:v>
                </c:pt>
                <c:pt idx="28">
                  <c:v>-71829.640625</c:v>
                </c:pt>
                <c:pt idx="29">
                  <c:v>-58586.90625</c:v>
                </c:pt>
                <c:pt idx="30">
                  <c:v>-28348.115234375</c:v>
                </c:pt>
                <c:pt idx="31">
                  <c:v>1832.69482421875</c:v>
                </c:pt>
                <c:pt idx="32">
                  <c:v>11318.0361328125</c:v>
                </c:pt>
                <c:pt idx="33">
                  <c:v>29504.51953125</c:v>
                </c:pt>
                <c:pt idx="34">
                  <c:v>61907.49609375</c:v>
                </c:pt>
                <c:pt idx="35">
                  <c:v>114916.984375</c:v>
                </c:pt>
                <c:pt idx="36">
                  <c:v>139653.84375</c:v>
                </c:pt>
                <c:pt idx="37">
                  <c:v>148000.375</c:v>
                </c:pt>
                <c:pt idx="38">
                  <c:v>149877.453125</c:v>
                </c:pt>
                <c:pt idx="39">
                  <c:v>155259.453125</c:v>
                </c:pt>
                <c:pt idx="40">
                  <c:v>138153.25</c:v>
                </c:pt>
                <c:pt idx="41">
                  <c:v>128971.921875</c:v>
                </c:pt>
                <c:pt idx="42">
                  <c:v>127385.5390625</c:v>
                </c:pt>
                <c:pt idx="43">
                  <c:v>126725.1171875</c:v>
                </c:pt>
                <c:pt idx="44">
                  <c:v>116811.7421875</c:v>
                </c:pt>
                <c:pt idx="45">
                  <c:v>109699.15625</c:v>
                </c:pt>
                <c:pt idx="46">
                  <c:v>95776.1953125</c:v>
                </c:pt>
                <c:pt idx="47">
                  <c:v>84672.1640625</c:v>
                </c:pt>
                <c:pt idx="48">
                  <c:v>80966.8828125</c:v>
                </c:pt>
                <c:pt idx="49">
                  <c:v>75278.8828125</c:v>
                </c:pt>
                <c:pt idx="50">
                  <c:v>69974.9921875</c:v>
                </c:pt>
                <c:pt idx="51">
                  <c:v>65294.26953125</c:v>
                </c:pt>
                <c:pt idx="52">
                  <c:v>70963.3046875</c:v>
                </c:pt>
                <c:pt idx="53">
                  <c:v>68084.296875</c:v>
                </c:pt>
                <c:pt idx="54">
                  <c:v>70593.1328125</c:v>
                </c:pt>
                <c:pt idx="55">
                  <c:v>63399.44140625</c:v>
                </c:pt>
                <c:pt idx="56">
                  <c:v>64725.09765625</c:v>
                </c:pt>
                <c:pt idx="57">
                  <c:v>62054.13671875</c:v>
                </c:pt>
                <c:pt idx="58">
                  <c:v>60613.640625</c:v>
                </c:pt>
                <c:pt idx="59">
                  <c:v>60399.5625</c:v>
                </c:pt>
                <c:pt idx="60">
                  <c:v>60417.08203125</c:v>
                </c:pt>
                <c:pt idx="61">
                  <c:v>64789.10546875</c:v>
                </c:pt>
                <c:pt idx="62">
                  <c:v>53665.15625</c:v>
                </c:pt>
                <c:pt idx="63">
                  <c:v>47302.89453125</c:v>
                </c:pt>
                <c:pt idx="64">
                  <c:v>35262.58203125</c:v>
                </c:pt>
                <c:pt idx="65">
                  <c:v>23158.978515625</c:v>
                </c:pt>
                <c:pt idx="66">
                  <c:v>-812.28997802734295</c:v>
                </c:pt>
                <c:pt idx="67">
                  <c:v>-11498.1044921875</c:v>
                </c:pt>
                <c:pt idx="68">
                  <c:v>-5273.88232421875</c:v>
                </c:pt>
                <c:pt idx="69">
                  <c:v>-7171.705078125</c:v>
                </c:pt>
                <c:pt idx="70">
                  <c:v>446.15927124023398</c:v>
                </c:pt>
                <c:pt idx="71">
                  <c:v>-1316.46997070312</c:v>
                </c:pt>
                <c:pt idx="72">
                  <c:v>5870.09423828125</c:v>
                </c:pt>
                <c:pt idx="73">
                  <c:v>8521.041015625</c:v>
                </c:pt>
                <c:pt idx="74">
                  <c:v>8701.103515625</c:v>
                </c:pt>
                <c:pt idx="75">
                  <c:v>47927.1015625</c:v>
                </c:pt>
                <c:pt idx="76">
                  <c:v>92734.9921875</c:v>
                </c:pt>
                <c:pt idx="77">
                  <c:v>107994.4609375</c:v>
                </c:pt>
                <c:pt idx="78">
                  <c:v>127541.4375</c:v>
                </c:pt>
                <c:pt idx="79">
                  <c:v>143078.859375</c:v>
                </c:pt>
                <c:pt idx="80">
                  <c:v>165987</c:v>
                </c:pt>
                <c:pt idx="81">
                  <c:v>231186.53125</c:v>
                </c:pt>
                <c:pt idx="82">
                  <c:v>271650.40625</c:v>
                </c:pt>
                <c:pt idx="83">
                  <c:v>326026.25</c:v>
                </c:pt>
                <c:pt idx="84">
                  <c:v>361998.8125</c:v>
                </c:pt>
                <c:pt idx="85">
                  <c:v>380732.15625</c:v>
                </c:pt>
                <c:pt idx="86">
                  <c:v>385754.71875</c:v>
                </c:pt>
                <c:pt idx="87">
                  <c:v>379957.3125</c:v>
                </c:pt>
                <c:pt idx="88">
                  <c:v>377484.71875</c:v>
                </c:pt>
                <c:pt idx="89">
                  <c:v>378277.03125</c:v>
                </c:pt>
                <c:pt idx="90">
                  <c:v>337334.6875</c:v>
                </c:pt>
                <c:pt idx="91">
                  <c:v>333374.9375</c:v>
                </c:pt>
                <c:pt idx="92">
                  <c:v>282233.21875</c:v>
                </c:pt>
                <c:pt idx="93">
                  <c:v>249653.640625</c:v>
                </c:pt>
                <c:pt idx="94">
                  <c:v>201337.75</c:v>
                </c:pt>
                <c:pt idx="95">
                  <c:v>186234.4375</c:v>
                </c:pt>
                <c:pt idx="96">
                  <c:v>177129.1875</c:v>
                </c:pt>
                <c:pt idx="97">
                  <c:v>172005.484375</c:v>
                </c:pt>
                <c:pt idx="98">
                  <c:v>159556.90625</c:v>
                </c:pt>
                <c:pt idx="99">
                  <c:v>150333.109375</c:v>
                </c:pt>
                <c:pt idx="100">
                  <c:v>158874.71875</c:v>
                </c:pt>
                <c:pt idx="101">
                  <c:v>147064.421875</c:v>
                </c:pt>
                <c:pt idx="102">
                  <c:v>136876.796875</c:v>
                </c:pt>
                <c:pt idx="103">
                  <c:v>121835.4140625</c:v>
                </c:pt>
                <c:pt idx="104">
                  <c:v>125364.796875</c:v>
                </c:pt>
                <c:pt idx="105">
                  <c:v>121313.328125</c:v>
                </c:pt>
                <c:pt idx="106">
                  <c:v>112690.1484375</c:v>
                </c:pt>
                <c:pt idx="107">
                  <c:v>101052.0546875</c:v>
                </c:pt>
                <c:pt idx="108">
                  <c:v>89501.9296875</c:v>
                </c:pt>
                <c:pt idx="109">
                  <c:v>85716.5390625</c:v>
                </c:pt>
                <c:pt idx="110">
                  <c:v>82223.6015625</c:v>
                </c:pt>
                <c:pt idx="111">
                  <c:v>56738.25390625</c:v>
                </c:pt>
                <c:pt idx="112">
                  <c:v>45594.27734375</c:v>
                </c:pt>
                <c:pt idx="113">
                  <c:v>30610.927734375</c:v>
                </c:pt>
                <c:pt idx="114">
                  <c:v>13468.806640625</c:v>
                </c:pt>
                <c:pt idx="115">
                  <c:v>-1872.66870117187</c:v>
                </c:pt>
                <c:pt idx="116">
                  <c:v>-13892.9609375</c:v>
                </c:pt>
                <c:pt idx="117">
                  <c:v>-21312.591796875</c:v>
                </c:pt>
                <c:pt idx="118">
                  <c:v>-23981.369140625</c:v>
                </c:pt>
                <c:pt idx="119">
                  <c:v>-24912.890625</c:v>
                </c:pt>
                <c:pt idx="120">
                  <c:v>-27289.744140625</c:v>
                </c:pt>
                <c:pt idx="121">
                  <c:v>-42847.30078125</c:v>
                </c:pt>
                <c:pt idx="122">
                  <c:v>-49865.80078125</c:v>
                </c:pt>
                <c:pt idx="123">
                  <c:v>-37417.359375</c:v>
                </c:pt>
                <c:pt idx="124">
                  <c:v>-38449.72265625</c:v>
                </c:pt>
                <c:pt idx="125">
                  <c:v>-35978.84765625</c:v>
                </c:pt>
                <c:pt idx="126">
                  <c:v>-15003.3798828125</c:v>
                </c:pt>
                <c:pt idx="127">
                  <c:v>5788.0654296875</c:v>
                </c:pt>
                <c:pt idx="128">
                  <c:v>9133.259765625</c:v>
                </c:pt>
                <c:pt idx="129">
                  <c:v>28082.0234375</c:v>
                </c:pt>
                <c:pt idx="130">
                  <c:v>37117.2578125</c:v>
                </c:pt>
                <c:pt idx="131">
                  <c:v>71155.3671875</c:v>
                </c:pt>
                <c:pt idx="132">
                  <c:v>100892</c:v>
                </c:pt>
                <c:pt idx="133">
                  <c:v>106742.046875</c:v>
                </c:pt>
                <c:pt idx="134">
                  <c:v>99501.5234375</c:v>
                </c:pt>
                <c:pt idx="135">
                  <c:v>100105.671875</c:v>
                </c:pt>
                <c:pt idx="136">
                  <c:v>111625.890625</c:v>
                </c:pt>
                <c:pt idx="137">
                  <c:v>110935.5859375</c:v>
                </c:pt>
                <c:pt idx="138">
                  <c:v>106756.09375</c:v>
                </c:pt>
                <c:pt idx="139">
                  <c:v>99061.3515625</c:v>
                </c:pt>
                <c:pt idx="140">
                  <c:v>96954.6796875</c:v>
                </c:pt>
                <c:pt idx="141">
                  <c:v>94553.7734375</c:v>
                </c:pt>
                <c:pt idx="142">
                  <c:v>87271.140625</c:v>
                </c:pt>
                <c:pt idx="143">
                  <c:v>80198.6328125</c:v>
                </c:pt>
                <c:pt idx="144">
                  <c:v>73788.3359375</c:v>
                </c:pt>
                <c:pt idx="145">
                  <c:v>67990.2421875</c:v>
                </c:pt>
                <c:pt idx="146">
                  <c:v>63300.5859375</c:v>
                </c:pt>
                <c:pt idx="147">
                  <c:v>61065.81640625</c:v>
                </c:pt>
                <c:pt idx="148">
                  <c:v>62391.35546875</c:v>
                </c:pt>
                <c:pt idx="149">
                  <c:v>60163.58203125</c:v>
                </c:pt>
                <c:pt idx="150">
                  <c:v>62166.18359375</c:v>
                </c:pt>
                <c:pt idx="151">
                  <c:v>56778.23828125</c:v>
                </c:pt>
                <c:pt idx="152">
                  <c:v>58060.7265625</c:v>
                </c:pt>
                <c:pt idx="153">
                  <c:v>54067.296875</c:v>
                </c:pt>
                <c:pt idx="154">
                  <c:v>54901.61328125</c:v>
                </c:pt>
                <c:pt idx="155">
                  <c:v>53921.26171875</c:v>
                </c:pt>
                <c:pt idx="156">
                  <c:v>62423.37890625</c:v>
                </c:pt>
                <c:pt idx="157">
                  <c:v>66679.3203125</c:v>
                </c:pt>
                <c:pt idx="158">
                  <c:v>72279.796875</c:v>
                </c:pt>
                <c:pt idx="159">
                  <c:v>62412.25</c:v>
                </c:pt>
                <c:pt idx="160">
                  <c:v>53773.203125</c:v>
                </c:pt>
                <c:pt idx="161">
                  <c:v>47302.89453125</c:v>
                </c:pt>
                <c:pt idx="162">
                  <c:v>43963.6953125</c:v>
                </c:pt>
                <c:pt idx="163">
                  <c:v>29898.673828125</c:v>
                </c:pt>
                <c:pt idx="164">
                  <c:v>11197.99609375</c:v>
                </c:pt>
                <c:pt idx="165">
                  <c:v>19865.091796875</c:v>
                </c:pt>
                <c:pt idx="166">
                  <c:v>20685.38671875</c:v>
                </c:pt>
                <c:pt idx="167">
                  <c:v>12346.4072265625</c:v>
                </c:pt>
                <c:pt idx="168">
                  <c:v>2314.826171875</c:v>
                </c:pt>
                <c:pt idx="169">
                  <c:v>5509.96630859375</c:v>
                </c:pt>
                <c:pt idx="170">
                  <c:v>11863.5146484375</c:v>
                </c:pt>
                <c:pt idx="171">
                  <c:v>8865.1650390625</c:v>
                </c:pt>
                <c:pt idx="172">
                  <c:v>-1231.77893066406</c:v>
                </c:pt>
                <c:pt idx="173">
                  <c:v>-1256.44848632812</c:v>
                </c:pt>
                <c:pt idx="174">
                  <c:v>104.037132263183</c:v>
                </c:pt>
                <c:pt idx="175">
                  <c:v>3639.29931640625</c:v>
                </c:pt>
                <c:pt idx="176">
                  <c:v>10431.7216796875</c:v>
                </c:pt>
                <c:pt idx="177">
                  <c:v>19054.80078125</c:v>
                </c:pt>
                <c:pt idx="178">
                  <c:v>47038.79296875</c:v>
                </c:pt>
                <c:pt idx="179">
                  <c:v>76005.1328125</c:v>
                </c:pt>
                <c:pt idx="180">
                  <c:v>86330.8203125</c:v>
                </c:pt>
                <c:pt idx="181">
                  <c:v>92931.1640625</c:v>
                </c:pt>
                <c:pt idx="182">
                  <c:v>95114.9453125</c:v>
                </c:pt>
                <c:pt idx="183">
                  <c:v>101500.2265625</c:v>
                </c:pt>
                <c:pt idx="184">
                  <c:v>109186.9296875</c:v>
                </c:pt>
                <c:pt idx="185">
                  <c:v>108916.90625</c:v>
                </c:pt>
                <c:pt idx="186">
                  <c:v>108680.796875</c:v>
                </c:pt>
                <c:pt idx="187">
                  <c:v>100511.890625</c:v>
                </c:pt>
                <c:pt idx="188">
                  <c:v>99429.4921875</c:v>
                </c:pt>
                <c:pt idx="189">
                  <c:v>99223.390625</c:v>
                </c:pt>
                <c:pt idx="190">
                  <c:v>83127.6484375</c:v>
                </c:pt>
                <c:pt idx="191">
                  <c:v>78660.1875</c:v>
                </c:pt>
                <c:pt idx="192">
                  <c:v>70397.125</c:v>
                </c:pt>
                <c:pt idx="193">
                  <c:v>68712.5078125</c:v>
                </c:pt>
                <c:pt idx="194">
                  <c:v>62636.33203125</c:v>
                </c:pt>
                <c:pt idx="195">
                  <c:v>60743.546875</c:v>
                </c:pt>
                <c:pt idx="196">
                  <c:v>64354.96484375</c:v>
                </c:pt>
                <c:pt idx="197">
                  <c:v>62878.4140625</c:v>
                </c:pt>
                <c:pt idx="198">
                  <c:v>63770.7421875</c:v>
                </c:pt>
                <c:pt idx="199">
                  <c:v>59679.28515625</c:v>
                </c:pt>
                <c:pt idx="200">
                  <c:v>58933.7578125</c:v>
                </c:pt>
                <c:pt idx="201">
                  <c:v>56039.99609375</c:v>
                </c:pt>
                <c:pt idx="202">
                  <c:v>58194.79296875</c:v>
                </c:pt>
                <c:pt idx="203">
                  <c:v>55863.92578125</c:v>
                </c:pt>
                <c:pt idx="204">
                  <c:v>61674.0078125</c:v>
                </c:pt>
                <c:pt idx="205">
                  <c:v>63864.78125</c:v>
                </c:pt>
                <c:pt idx="206">
                  <c:v>59527.23046875</c:v>
                </c:pt>
                <c:pt idx="207">
                  <c:v>50462.01953125</c:v>
                </c:pt>
                <c:pt idx="208">
                  <c:v>22838.15234375</c:v>
                </c:pt>
                <c:pt idx="209">
                  <c:v>-958.27233886718705</c:v>
                </c:pt>
                <c:pt idx="210">
                  <c:v>-22325.970703125</c:v>
                </c:pt>
                <c:pt idx="211">
                  <c:v>-44594.07421875</c:v>
                </c:pt>
                <c:pt idx="212">
                  <c:v>-69220.984375</c:v>
                </c:pt>
                <c:pt idx="213">
                  <c:v>-79526.546875</c:v>
                </c:pt>
                <c:pt idx="214">
                  <c:v>-77547.703125</c:v>
                </c:pt>
                <c:pt idx="215">
                  <c:v>-71451.515625</c:v>
                </c:pt>
                <c:pt idx="216">
                  <c:v>-41230.71875</c:v>
                </c:pt>
                <c:pt idx="217">
                  <c:v>-66765.8671875</c:v>
                </c:pt>
                <c:pt idx="218">
                  <c:v>-64330.97265625</c:v>
                </c:pt>
                <c:pt idx="219">
                  <c:v>-65299.328125</c:v>
                </c:pt>
                <c:pt idx="220">
                  <c:v>-34236.234375</c:v>
                </c:pt>
                <c:pt idx="221">
                  <c:v>-10745.8369140625</c:v>
                </c:pt>
                <c:pt idx="222">
                  <c:v>15603.57421875</c:v>
                </c:pt>
                <c:pt idx="223">
                  <c:v>22690.875</c:v>
                </c:pt>
                <c:pt idx="224">
                  <c:v>37743.45703125</c:v>
                </c:pt>
                <c:pt idx="225">
                  <c:v>77909.8125</c:v>
                </c:pt>
                <c:pt idx="226">
                  <c:v>107988.953125</c:v>
                </c:pt>
                <c:pt idx="227">
                  <c:v>149933.421875</c:v>
                </c:pt>
                <c:pt idx="228">
                  <c:v>185480.03125</c:v>
                </c:pt>
                <c:pt idx="229">
                  <c:v>203624.875</c:v>
                </c:pt>
                <c:pt idx="230">
                  <c:v>217539.515625</c:v>
                </c:pt>
                <c:pt idx="231">
                  <c:v>212039.421875</c:v>
                </c:pt>
                <c:pt idx="232">
                  <c:v>208262.40625</c:v>
                </c:pt>
                <c:pt idx="233">
                  <c:v>210691.25</c:v>
                </c:pt>
                <c:pt idx="234">
                  <c:v>204504.96875</c:v>
                </c:pt>
                <c:pt idx="235">
                  <c:v>195947.953125</c:v>
                </c:pt>
                <c:pt idx="236">
                  <c:v>178581.6875</c:v>
                </c:pt>
                <c:pt idx="237">
                  <c:v>184725.171875</c:v>
                </c:pt>
                <c:pt idx="238">
                  <c:v>175708.625</c:v>
                </c:pt>
                <c:pt idx="239">
                  <c:v>147324.40625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56C-496D-8852-15F8A0AD9B71}"/>
            </c:ext>
          </c:extLst>
        </c:ser>
        <c:ser>
          <c:idx val="8"/>
          <c:order val="8"/>
          <c:tx>
            <c:strRef>
              <c:f>measured_powers!$AD$252</c:f>
              <c:strCache>
                <c:ptCount val="1"/>
                <c:pt idx="0">
                  <c:v>p_671_C_W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measured_powers!$U$253:$U$492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measured_powers!$AD$253:$AD$492</c:f>
              <c:numCache>
                <c:formatCode>General</c:formatCode>
                <c:ptCount val="240"/>
                <c:pt idx="0">
                  <c:v>96115.5546875</c:v>
                </c:pt>
                <c:pt idx="1">
                  <c:v>84146.640625</c:v>
                </c:pt>
                <c:pt idx="2">
                  <c:v>73363.3515625</c:v>
                </c:pt>
                <c:pt idx="3">
                  <c:v>71126.3359375</c:v>
                </c:pt>
                <c:pt idx="4">
                  <c:v>62037.71875</c:v>
                </c:pt>
                <c:pt idx="5">
                  <c:v>63267.40625</c:v>
                </c:pt>
                <c:pt idx="6">
                  <c:v>62997.26171875</c:v>
                </c:pt>
                <c:pt idx="7">
                  <c:v>64893.703125</c:v>
                </c:pt>
                <c:pt idx="8">
                  <c:v>63457.4765625</c:v>
                </c:pt>
                <c:pt idx="9">
                  <c:v>63573.51171875</c:v>
                </c:pt>
                <c:pt idx="10">
                  <c:v>72989.78125</c:v>
                </c:pt>
                <c:pt idx="11">
                  <c:v>76246.625</c:v>
                </c:pt>
                <c:pt idx="12">
                  <c:v>73222.9765625</c:v>
                </c:pt>
                <c:pt idx="13">
                  <c:v>71743.8515625</c:v>
                </c:pt>
                <c:pt idx="14">
                  <c:v>60801.83203125</c:v>
                </c:pt>
                <c:pt idx="15">
                  <c:v>49600.03515625</c:v>
                </c:pt>
                <c:pt idx="16">
                  <c:v>40917.9453125</c:v>
                </c:pt>
                <c:pt idx="17">
                  <c:v>38835.4453125</c:v>
                </c:pt>
                <c:pt idx="18">
                  <c:v>10242.4892578125</c:v>
                </c:pt>
                <c:pt idx="19">
                  <c:v>-9406.287109375</c:v>
                </c:pt>
                <c:pt idx="20">
                  <c:v>-24830.0078125</c:v>
                </c:pt>
                <c:pt idx="21">
                  <c:v>-44886.87109375</c:v>
                </c:pt>
                <c:pt idx="22">
                  <c:v>-59336.88671875</c:v>
                </c:pt>
                <c:pt idx="23">
                  <c:v>-61878.921875</c:v>
                </c:pt>
                <c:pt idx="24">
                  <c:v>-65361.78515625</c:v>
                </c:pt>
                <c:pt idx="25">
                  <c:v>-68834.625</c:v>
                </c:pt>
                <c:pt idx="26">
                  <c:v>-77312.671875</c:v>
                </c:pt>
                <c:pt idx="27">
                  <c:v>-73037.640625</c:v>
                </c:pt>
                <c:pt idx="28">
                  <c:v>-58745.82421875</c:v>
                </c:pt>
                <c:pt idx="29">
                  <c:v>-48503.74609375</c:v>
                </c:pt>
                <c:pt idx="30">
                  <c:v>-26816.52734375</c:v>
                </c:pt>
                <c:pt idx="31">
                  <c:v>577.78564453125</c:v>
                </c:pt>
                <c:pt idx="32">
                  <c:v>20008.833984375</c:v>
                </c:pt>
                <c:pt idx="33">
                  <c:v>47621.57421875</c:v>
                </c:pt>
                <c:pt idx="34">
                  <c:v>76114.6328125</c:v>
                </c:pt>
                <c:pt idx="35">
                  <c:v>110645.1796875</c:v>
                </c:pt>
                <c:pt idx="36">
                  <c:v>142171.015625</c:v>
                </c:pt>
                <c:pt idx="37">
                  <c:v>162680.15625</c:v>
                </c:pt>
                <c:pt idx="38">
                  <c:v>159167.125</c:v>
                </c:pt>
                <c:pt idx="39">
                  <c:v>153981.6875</c:v>
                </c:pt>
                <c:pt idx="40">
                  <c:v>150827.09375</c:v>
                </c:pt>
                <c:pt idx="41">
                  <c:v>159265.984375</c:v>
                </c:pt>
                <c:pt idx="42">
                  <c:v>151615.1875</c:v>
                </c:pt>
                <c:pt idx="43">
                  <c:v>161779.53125</c:v>
                </c:pt>
                <c:pt idx="44">
                  <c:v>152502.734375</c:v>
                </c:pt>
                <c:pt idx="45">
                  <c:v>131052.078125</c:v>
                </c:pt>
                <c:pt idx="46">
                  <c:v>112994.5</c:v>
                </c:pt>
                <c:pt idx="47">
                  <c:v>101302.3125</c:v>
                </c:pt>
                <c:pt idx="48">
                  <c:v>97395.59375</c:v>
                </c:pt>
                <c:pt idx="49">
                  <c:v>85492.9453125</c:v>
                </c:pt>
                <c:pt idx="50">
                  <c:v>73187.90625</c:v>
                </c:pt>
                <c:pt idx="51">
                  <c:v>67637.578125</c:v>
                </c:pt>
                <c:pt idx="52">
                  <c:v>68404.65625</c:v>
                </c:pt>
                <c:pt idx="53">
                  <c:v>65495.88671875</c:v>
                </c:pt>
                <c:pt idx="54">
                  <c:v>67730.375</c:v>
                </c:pt>
                <c:pt idx="55">
                  <c:v>73646.2109375</c:v>
                </c:pt>
                <c:pt idx="56">
                  <c:v>71861.53125</c:v>
                </c:pt>
                <c:pt idx="57">
                  <c:v>71543.453125</c:v>
                </c:pt>
                <c:pt idx="58">
                  <c:v>72659.7578125</c:v>
                </c:pt>
                <c:pt idx="59">
                  <c:v>78967.2265625</c:v>
                </c:pt>
                <c:pt idx="60">
                  <c:v>79030.953125</c:v>
                </c:pt>
                <c:pt idx="61">
                  <c:v>76152.5234375</c:v>
                </c:pt>
                <c:pt idx="62">
                  <c:v>65590.984375</c:v>
                </c:pt>
                <c:pt idx="63">
                  <c:v>50926.390625</c:v>
                </c:pt>
                <c:pt idx="64">
                  <c:v>52104.1015625</c:v>
                </c:pt>
                <c:pt idx="65">
                  <c:v>35022.4921875</c:v>
                </c:pt>
                <c:pt idx="66">
                  <c:v>20178.900390625</c:v>
                </c:pt>
                <c:pt idx="67">
                  <c:v>10458.541015625</c:v>
                </c:pt>
                <c:pt idx="68">
                  <c:v>39501.609375</c:v>
                </c:pt>
                <c:pt idx="69">
                  <c:v>43376.54296875</c:v>
                </c:pt>
                <c:pt idx="70">
                  <c:v>58788.33984375</c:v>
                </c:pt>
                <c:pt idx="71">
                  <c:v>53819.0390625</c:v>
                </c:pt>
                <c:pt idx="72">
                  <c:v>68820.6484375</c:v>
                </c:pt>
                <c:pt idx="73">
                  <c:v>92780.59375</c:v>
                </c:pt>
                <c:pt idx="74">
                  <c:v>99956.3671875</c:v>
                </c:pt>
                <c:pt idx="75">
                  <c:v>112501.2578125</c:v>
                </c:pt>
                <c:pt idx="76">
                  <c:v>144803.578125</c:v>
                </c:pt>
                <c:pt idx="77">
                  <c:v>178280.59375</c:v>
                </c:pt>
                <c:pt idx="78">
                  <c:v>188220.171875</c:v>
                </c:pt>
                <c:pt idx="79">
                  <c:v>188870.21875</c:v>
                </c:pt>
                <c:pt idx="80">
                  <c:v>217860.796875</c:v>
                </c:pt>
                <c:pt idx="81">
                  <c:v>252494.375</c:v>
                </c:pt>
                <c:pt idx="82">
                  <c:v>286304.84375</c:v>
                </c:pt>
                <c:pt idx="83">
                  <c:v>323121.21875</c:v>
                </c:pt>
                <c:pt idx="84">
                  <c:v>356139.5625</c:v>
                </c:pt>
                <c:pt idx="85">
                  <c:v>358220.9375</c:v>
                </c:pt>
                <c:pt idx="86">
                  <c:v>378206.8125</c:v>
                </c:pt>
                <c:pt idx="87">
                  <c:v>397403.03125</c:v>
                </c:pt>
                <c:pt idx="88">
                  <c:v>395453.90625</c:v>
                </c:pt>
                <c:pt idx="89">
                  <c:v>377936.59375</c:v>
                </c:pt>
                <c:pt idx="90">
                  <c:v>359570.21875</c:v>
                </c:pt>
                <c:pt idx="91">
                  <c:v>342801.65625</c:v>
                </c:pt>
                <c:pt idx="92">
                  <c:v>304327.5625</c:v>
                </c:pt>
                <c:pt idx="93">
                  <c:v>275219.09375</c:v>
                </c:pt>
                <c:pt idx="94">
                  <c:v>237890.78125</c:v>
                </c:pt>
                <c:pt idx="95">
                  <c:v>216206.953125</c:v>
                </c:pt>
                <c:pt idx="96">
                  <c:v>184473.453125</c:v>
                </c:pt>
                <c:pt idx="97">
                  <c:v>180202.734375</c:v>
                </c:pt>
                <c:pt idx="98">
                  <c:v>163144.203125</c:v>
                </c:pt>
                <c:pt idx="99">
                  <c:v>148308.703125</c:v>
                </c:pt>
                <c:pt idx="100">
                  <c:v>143878.375</c:v>
                </c:pt>
                <c:pt idx="101">
                  <c:v>147618.234375</c:v>
                </c:pt>
                <c:pt idx="102">
                  <c:v>136037.21875</c:v>
                </c:pt>
                <c:pt idx="103">
                  <c:v>132596.40625</c:v>
                </c:pt>
                <c:pt idx="104">
                  <c:v>121165.640625</c:v>
                </c:pt>
                <c:pt idx="105">
                  <c:v>116696.5546875</c:v>
                </c:pt>
                <c:pt idx="106">
                  <c:v>111991.0546875</c:v>
                </c:pt>
                <c:pt idx="107">
                  <c:v>104819.5</c:v>
                </c:pt>
                <c:pt idx="108">
                  <c:v>96565.46875</c:v>
                </c:pt>
                <c:pt idx="109">
                  <c:v>101459.078125</c:v>
                </c:pt>
                <c:pt idx="110">
                  <c:v>82359.8984375</c:v>
                </c:pt>
                <c:pt idx="111">
                  <c:v>59029.1015625</c:v>
                </c:pt>
                <c:pt idx="112">
                  <c:v>51670.12890625</c:v>
                </c:pt>
                <c:pt idx="113">
                  <c:v>45484.33203125</c:v>
                </c:pt>
                <c:pt idx="114">
                  <c:v>32589.927734375</c:v>
                </c:pt>
                <c:pt idx="115">
                  <c:v>12433.0244140625</c:v>
                </c:pt>
                <c:pt idx="116">
                  <c:v>15911.8701171875</c:v>
                </c:pt>
                <c:pt idx="117">
                  <c:v>646.15716552734295</c:v>
                </c:pt>
                <c:pt idx="118">
                  <c:v>-12101.541015625</c:v>
                </c:pt>
                <c:pt idx="119">
                  <c:v>-13559.2822265625</c:v>
                </c:pt>
                <c:pt idx="120">
                  <c:v>-21029.09375</c:v>
                </c:pt>
                <c:pt idx="121">
                  <c:v>-27748.71875</c:v>
                </c:pt>
                <c:pt idx="122">
                  <c:v>-35568.60546875</c:v>
                </c:pt>
                <c:pt idx="123">
                  <c:v>-13869.3720703125</c:v>
                </c:pt>
                <c:pt idx="124">
                  <c:v>-24113.84765625</c:v>
                </c:pt>
                <c:pt idx="125">
                  <c:v>-22021.353515625</c:v>
                </c:pt>
                <c:pt idx="126">
                  <c:v>-12274.982421875</c:v>
                </c:pt>
                <c:pt idx="127">
                  <c:v>13709.3203125</c:v>
                </c:pt>
                <c:pt idx="128">
                  <c:v>22275.408203125</c:v>
                </c:pt>
                <c:pt idx="129">
                  <c:v>30413.390625</c:v>
                </c:pt>
                <c:pt idx="130">
                  <c:v>51560.5546875</c:v>
                </c:pt>
                <c:pt idx="131">
                  <c:v>80899.7265625</c:v>
                </c:pt>
                <c:pt idx="132">
                  <c:v>111327.28125</c:v>
                </c:pt>
                <c:pt idx="133">
                  <c:v>119737.296875</c:v>
                </c:pt>
                <c:pt idx="134">
                  <c:v>119176.953125</c:v>
                </c:pt>
                <c:pt idx="135">
                  <c:v>113763.5546875</c:v>
                </c:pt>
                <c:pt idx="136">
                  <c:v>113204.5</c:v>
                </c:pt>
                <c:pt idx="137">
                  <c:v>113963.875</c:v>
                </c:pt>
                <c:pt idx="138">
                  <c:v>110993.1484375</c:v>
                </c:pt>
                <c:pt idx="139">
                  <c:v>104007.484375</c:v>
                </c:pt>
                <c:pt idx="140">
                  <c:v>110535.2109375</c:v>
                </c:pt>
                <c:pt idx="141">
                  <c:v>107962.453125</c:v>
                </c:pt>
                <c:pt idx="142">
                  <c:v>96233.546875</c:v>
                </c:pt>
                <c:pt idx="143">
                  <c:v>89998.78125</c:v>
                </c:pt>
                <c:pt idx="144">
                  <c:v>82848.265625</c:v>
                </c:pt>
                <c:pt idx="145">
                  <c:v>77208.6875</c:v>
                </c:pt>
                <c:pt idx="146">
                  <c:v>66718.9765625</c:v>
                </c:pt>
                <c:pt idx="147">
                  <c:v>63693.03125</c:v>
                </c:pt>
                <c:pt idx="148">
                  <c:v>64109.8046875</c:v>
                </c:pt>
                <c:pt idx="149">
                  <c:v>58340.28515625</c:v>
                </c:pt>
                <c:pt idx="150">
                  <c:v>58136.1796875</c:v>
                </c:pt>
                <c:pt idx="151">
                  <c:v>58638.27734375</c:v>
                </c:pt>
                <c:pt idx="152">
                  <c:v>58716.33984375</c:v>
                </c:pt>
                <c:pt idx="153">
                  <c:v>56515.80859375</c:v>
                </c:pt>
                <c:pt idx="154">
                  <c:v>65968.09375</c:v>
                </c:pt>
                <c:pt idx="155">
                  <c:v>70823.4765625</c:v>
                </c:pt>
                <c:pt idx="156">
                  <c:v>74934.1640625</c:v>
                </c:pt>
                <c:pt idx="157">
                  <c:v>75646.7265625</c:v>
                </c:pt>
                <c:pt idx="158">
                  <c:v>73403.9140625</c:v>
                </c:pt>
                <c:pt idx="159">
                  <c:v>64939.80078125</c:v>
                </c:pt>
                <c:pt idx="160">
                  <c:v>55469.5546875</c:v>
                </c:pt>
                <c:pt idx="161">
                  <c:v>55347.52734375</c:v>
                </c:pt>
                <c:pt idx="162">
                  <c:v>58298.2421875</c:v>
                </c:pt>
                <c:pt idx="163">
                  <c:v>48559.796875</c:v>
                </c:pt>
                <c:pt idx="164">
                  <c:v>33356.1015625</c:v>
                </c:pt>
                <c:pt idx="165">
                  <c:v>34914.484375</c:v>
                </c:pt>
                <c:pt idx="166">
                  <c:v>23367.6796875</c:v>
                </c:pt>
                <c:pt idx="167">
                  <c:v>20444.96875</c:v>
                </c:pt>
                <c:pt idx="168">
                  <c:v>3374.81909179687</c:v>
                </c:pt>
                <c:pt idx="169">
                  <c:v>10196.4775390625</c:v>
                </c:pt>
                <c:pt idx="170">
                  <c:v>15099.671875</c:v>
                </c:pt>
                <c:pt idx="171">
                  <c:v>20376.951171875</c:v>
                </c:pt>
                <c:pt idx="172">
                  <c:v>11337.7626953125</c:v>
                </c:pt>
                <c:pt idx="173">
                  <c:v>7137.73046875</c:v>
                </c:pt>
                <c:pt idx="174">
                  <c:v>6257.51904296875</c:v>
                </c:pt>
                <c:pt idx="175">
                  <c:v>16041.7236328125</c:v>
                </c:pt>
                <c:pt idx="176">
                  <c:v>20663.021484375</c:v>
                </c:pt>
                <c:pt idx="177">
                  <c:v>25974.314453125</c:v>
                </c:pt>
                <c:pt idx="178">
                  <c:v>54093.140625</c:v>
                </c:pt>
                <c:pt idx="179">
                  <c:v>78433.28125</c:v>
                </c:pt>
                <c:pt idx="180">
                  <c:v>87471.3984375</c:v>
                </c:pt>
                <c:pt idx="181">
                  <c:v>92608.6796875</c:v>
                </c:pt>
                <c:pt idx="182">
                  <c:v>108766.0625</c:v>
                </c:pt>
                <c:pt idx="183">
                  <c:v>116282.4453125</c:v>
                </c:pt>
                <c:pt idx="184">
                  <c:v>123246.140625</c:v>
                </c:pt>
                <c:pt idx="185">
                  <c:v>122493.921875</c:v>
                </c:pt>
                <c:pt idx="186">
                  <c:v>116556.53125</c:v>
                </c:pt>
                <c:pt idx="187">
                  <c:v>109210.71875</c:v>
                </c:pt>
                <c:pt idx="188">
                  <c:v>111591.3203125</c:v>
                </c:pt>
                <c:pt idx="189">
                  <c:v>107998.4609375</c:v>
                </c:pt>
                <c:pt idx="190">
                  <c:v>99990.484375</c:v>
                </c:pt>
                <c:pt idx="191">
                  <c:v>87971.3125</c:v>
                </c:pt>
                <c:pt idx="192">
                  <c:v>80027.4921875</c:v>
                </c:pt>
                <c:pt idx="193">
                  <c:v>76358.4609375</c:v>
                </c:pt>
                <c:pt idx="194">
                  <c:v>67530.359375</c:v>
                </c:pt>
                <c:pt idx="195">
                  <c:v>62529.44921875</c:v>
                </c:pt>
                <c:pt idx="196">
                  <c:v>55243.4765625</c:v>
                </c:pt>
                <c:pt idx="197">
                  <c:v>54899.3671875</c:v>
                </c:pt>
                <c:pt idx="198">
                  <c:v>60106.65234375</c:v>
                </c:pt>
                <c:pt idx="199">
                  <c:v>57189.953125</c:v>
                </c:pt>
                <c:pt idx="200">
                  <c:v>55082.69140625</c:v>
                </c:pt>
                <c:pt idx="201">
                  <c:v>57339.9296875</c:v>
                </c:pt>
                <c:pt idx="202">
                  <c:v>64873.01953125</c:v>
                </c:pt>
                <c:pt idx="203">
                  <c:v>67238.3046875</c:v>
                </c:pt>
                <c:pt idx="204">
                  <c:v>67684.7109375</c:v>
                </c:pt>
                <c:pt idx="205">
                  <c:v>67362.421875</c:v>
                </c:pt>
                <c:pt idx="206">
                  <c:v>58714.30859375</c:v>
                </c:pt>
                <c:pt idx="207">
                  <c:v>47863.69140625</c:v>
                </c:pt>
                <c:pt idx="208">
                  <c:v>26399.611328125</c:v>
                </c:pt>
                <c:pt idx="209">
                  <c:v>12415.3291015625</c:v>
                </c:pt>
                <c:pt idx="210">
                  <c:v>-3932.9521484375</c:v>
                </c:pt>
                <c:pt idx="211">
                  <c:v>-27342.607421875</c:v>
                </c:pt>
                <c:pt idx="212">
                  <c:v>-50768.25390625</c:v>
                </c:pt>
                <c:pt idx="213">
                  <c:v>-63093.21484375</c:v>
                </c:pt>
                <c:pt idx="214">
                  <c:v>-60518.5859375</c:v>
                </c:pt>
                <c:pt idx="215">
                  <c:v>-62580.7734375</c:v>
                </c:pt>
                <c:pt idx="216">
                  <c:v>-42822.37109375</c:v>
                </c:pt>
                <c:pt idx="217">
                  <c:v>-38803.390625</c:v>
                </c:pt>
                <c:pt idx="218">
                  <c:v>-43476.578125</c:v>
                </c:pt>
                <c:pt idx="219">
                  <c:v>-33674.05859375</c:v>
                </c:pt>
                <c:pt idx="220">
                  <c:v>-1710.41467285156</c:v>
                </c:pt>
                <c:pt idx="221">
                  <c:v>11516.7822265625</c:v>
                </c:pt>
                <c:pt idx="222">
                  <c:v>34974.51171875</c:v>
                </c:pt>
                <c:pt idx="223">
                  <c:v>37118.98828125</c:v>
                </c:pt>
                <c:pt idx="224">
                  <c:v>38785.37890625</c:v>
                </c:pt>
                <c:pt idx="225">
                  <c:v>85618.9609375</c:v>
                </c:pt>
                <c:pt idx="226">
                  <c:v>127534.3984375</c:v>
                </c:pt>
                <c:pt idx="227">
                  <c:v>151857.203125</c:v>
                </c:pt>
                <c:pt idx="228">
                  <c:v>191132.90625</c:v>
                </c:pt>
                <c:pt idx="229">
                  <c:v>222822.359375</c:v>
                </c:pt>
                <c:pt idx="230">
                  <c:v>249315.25</c:v>
                </c:pt>
                <c:pt idx="231">
                  <c:v>252508.15625</c:v>
                </c:pt>
                <c:pt idx="232">
                  <c:v>244212.5</c:v>
                </c:pt>
                <c:pt idx="233">
                  <c:v>249566.171875</c:v>
                </c:pt>
                <c:pt idx="234">
                  <c:v>235596.953125</c:v>
                </c:pt>
                <c:pt idx="235">
                  <c:v>215382.3125</c:v>
                </c:pt>
                <c:pt idx="236">
                  <c:v>197850.53125</c:v>
                </c:pt>
                <c:pt idx="237">
                  <c:v>176423.171875</c:v>
                </c:pt>
                <c:pt idx="238">
                  <c:v>172198.171875</c:v>
                </c:pt>
                <c:pt idx="239">
                  <c:v>151571.03125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56C-496D-8852-15F8A0AD9B71}"/>
            </c:ext>
          </c:extLst>
        </c:ser>
        <c:ser>
          <c:idx val="9"/>
          <c:order val="9"/>
          <c:tx>
            <c:strRef>
              <c:f>measured_powers!$AE$252</c:f>
              <c:strCache>
                <c:ptCount val="1"/>
                <c:pt idx="0">
                  <c:v>p_675_A_W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measured_powers!$U$253:$U$492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measured_powers!$AE$253:$AE$492</c:f>
              <c:numCache>
                <c:formatCode>General</c:formatCode>
                <c:ptCount val="240"/>
                <c:pt idx="0">
                  <c:v>116083.2109375</c:v>
                </c:pt>
                <c:pt idx="1">
                  <c:v>111731.9609375</c:v>
                </c:pt>
                <c:pt idx="2">
                  <c:v>97275.1875</c:v>
                </c:pt>
                <c:pt idx="3">
                  <c:v>86744.7578125</c:v>
                </c:pt>
                <c:pt idx="4">
                  <c:v>85030.6171875</c:v>
                </c:pt>
                <c:pt idx="5">
                  <c:v>83156.3828125</c:v>
                </c:pt>
                <c:pt idx="6">
                  <c:v>81876.078125</c:v>
                </c:pt>
                <c:pt idx="7">
                  <c:v>79120.8984375</c:v>
                </c:pt>
                <c:pt idx="8">
                  <c:v>78261.890625</c:v>
                </c:pt>
                <c:pt idx="9">
                  <c:v>77605.3046875</c:v>
                </c:pt>
                <c:pt idx="10">
                  <c:v>82450.3203125</c:v>
                </c:pt>
                <c:pt idx="11">
                  <c:v>84628.59375</c:v>
                </c:pt>
                <c:pt idx="12">
                  <c:v>84762.3984375</c:v>
                </c:pt>
                <c:pt idx="13">
                  <c:v>87686.8984375</c:v>
                </c:pt>
                <c:pt idx="14">
                  <c:v>78561.71875</c:v>
                </c:pt>
                <c:pt idx="15">
                  <c:v>56401.09765625</c:v>
                </c:pt>
                <c:pt idx="16">
                  <c:v>43518.57421875</c:v>
                </c:pt>
                <c:pt idx="17">
                  <c:v>27863.5</c:v>
                </c:pt>
                <c:pt idx="18">
                  <c:v>946.18640136718705</c:v>
                </c:pt>
                <c:pt idx="19">
                  <c:v>-20614.08984375</c:v>
                </c:pt>
                <c:pt idx="20">
                  <c:v>-36153.11328125</c:v>
                </c:pt>
                <c:pt idx="21">
                  <c:v>-64066.65625</c:v>
                </c:pt>
                <c:pt idx="22">
                  <c:v>-82162.765625</c:v>
                </c:pt>
                <c:pt idx="23">
                  <c:v>-82324.09375</c:v>
                </c:pt>
                <c:pt idx="24">
                  <c:v>-82152.296875</c:v>
                </c:pt>
                <c:pt idx="25">
                  <c:v>-86045.0625</c:v>
                </c:pt>
                <c:pt idx="26">
                  <c:v>-90421.9140625</c:v>
                </c:pt>
                <c:pt idx="27">
                  <c:v>-93100.4609375</c:v>
                </c:pt>
                <c:pt idx="28">
                  <c:v>-70702.0625</c:v>
                </c:pt>
                <c:pt idx="29">
                  <c:v>-57245.328125</c:v>
                </c:pt>
                <c:pt idx="30">
                  <c:v>-31924.328125</c:v>
                </c:pt>
                <c:pt idx="31">
                  <c:v>-3298.65258789062</c:v>
                </c:pt>
                <c:pt idx="32">
                  <c:v>9767.91796875</c:v>
                </c:pt>
                <c:pt idx="33">
                  <c:v>31994.30859375</c:v>
                </c:pt>
                <c:pt idx="34">
                  <c:v>72186.421875</c:v>
                </c:pt>
                <c:pt idx="35">
                  <c:v>130117.609375</c:v>
                </c:pt>
                <c:pt idx="36">
                  <c:v>160871.84375</c:v>
                </c:pt>
                <c:pt idx="37">
                  <c:v>186958.8125</c:v>
                </c:pt>
                <c:pt idx="38">
                  <c:v>189905.3125</c:v>
                </c:pt>
                <c:pt idx="39">
                  <c:v>193061.65625</c:v>
                </c:pt>
                <c:pt idx="40">
                  <c:v>182477.859375</c:v>
                </c:pt>
                <c:pt idx="41">
                  <c:v>174821.265625</c:v>
                </c:pt>
                <c:pt idx="42">
                  <c:v>171692.5</c:v>
                </c:pt>
                <c:pt idx="43">
                  <c:v>185271.546875</c:v>
                </c:pt>
                <c:pt idx="44">
                  <c:v>164056.234375</c:v>
                </c:pt>
                <c:pt idx="45">
                  <c:v>150661.65625</c:v>
                </c:pt>
                <c:pt idx="46">
                  <c:v>124366.609375</c:v>
                </c:pt>
                <c:pt idx="47">
                  <c:v>110793.9609375</c:v>
                </c:pt>
                <c:pt idx="48">
                  <c:v>110755.671875</c:v>
                </c:pt>
                <c:pt idx="49">
                  <c:v>101386.1328125</c:v>
                </c:pt>
                <c:pt idx="50">
                  <c:v>91698.0625</c:v>
                </c:pt>
                <c:pt idx="51">
                  <c:v>83867.984375</c:v>
                </c:pt>
                <c:pt idx="52">
                  <c:v>90899.734375</c:v>
                </c:pt>
                <c:pt idx="53">
                  <c:v>86124.828125</c:v>
                </c:pt>
                <c:pt idx="54">
                  <c:v>89742.78125</c:v>
                </c:pt>
                <c:pt idx="55">
                  <c:v>87644.828125</c:v>
                </c:pt>
                <c:pt idx="56">
                  <c:v>85240.796875</c:v>
                </c:pt>
                <c:pt idx="57">
                  <c:v>85848.9453125</c:v>
                </c:pt>
                <c:pt idx="58">
                  <c:v>84784.6875</c:v>
                </c:pt>
                <c:pt idx="59">
                  <c:v>87995.15625</c:v>
                </c:pt>
                <c:pt idx="60">
                  <c:v>86998.7734375</c:v>
                </c:pt>
                <c:pt idx="61">
                  <c:v>85510.8203125</c:v>
                </c:pt>
                <c:pt idx="62">
                  <c:v>73526.578125</c:v>
                </c:pt>
                <c:pt idx="63">
                  <c:v>60851.96875</c:v>
                </c:pt>
                <c:pt idx="64">
                  <c:v>53362.5390625</c:v>
                </c:pt>
                <c:pt idx="65">
                  <c:v>35789.02734375</c:v>
                </c:pt>
                <c:pt idx="66">
                  <c:v>10170.0087890625</c:v>
                </c:pt>
                <c:pt idx="67">
                  <c:v>-7663.51220703125</c:v>
                </c:pt>
                <c:pt idx="68">
                  <c:v>16035.171875</c:v>
                </c:pt>
                <c:pt idx="69">
                  <c:v>15547.0546875</c:v>
                </c:pt>
                <c:pt idx="70">
                  <c:v>34432.8046875</c:v>
                </c:pt>
                <c:pt idx="71">
                  <c:v>35386.9765625</c:v>
                </c:pt>
                <c:pt idx="72">
                  <c:v>45804.515625</c:v>
                </c:pt>
                <c:pt idx="73">
                  <c:v>55386.92578125</c:v>
                </c:pt>
                <c:pt idx="74">
                  <c:v>53340.49609375</c:v>
                </c:pt>
                <c:pt idx="75">
                  <c:v>92411.34375</c:v>
                </c:pt>
                <c:pt idx="76">
                  <c:v>153710.328125</c:v>
                </c:pt>
                <c:pt idx="77">
                  <c:v>185736.375</c:v>
                </c:pt>
                <c:pt idx="78">
                  <c:v>191493.46875</c:v>
                </c:pt>
                <c:pt idx="79">
                  <c:v>203668.015625</c:v>
                </c:pt>
                <c:pt idx="80">
                  <c:v>237514.359375</c:v>
                </c:pt>
                <c:pt idx="81">
                  <c:v>298502.375</c:v>
                </c:pt>
                <c:pt idx="82">
                  <c:v>340540.53125</c:v>
                </c:pt>
                <c:pt idx="83">
                  <c:v>394028.59375</c:v>
                </c:pt>
                <c:pt idx="84">
                  <c:v>449136.34375</c:v>
                </c:pt>
                <c:pt idx="85">
                  <c:v>470130.59375</c:v>
                </c:pt>
                <c:pt idx="86">
                  <c:v>474327.875</c:v>
                </c:pt>
                <c:pt idx="87">
                  <c:v>466836.71875</c:v>
                </c:pt>
                <c:pt idx="88">
                  <c:v>470759.3125</c:v>
                </c:pt>
                <c:pt idx="89">
                  <c:v>472418.6875</c:v>
                </c:pt>
                <c:pt idx="90">
                  <c:v>441396.5625</c:v>
                </c:pt>
                <c:pt idx="91">
                  <c:v>442368.09375</c:v>
                </c:pt>
                <c:pt idx="92">
                  <c:v>389946.28125</c:v>
                </c:pt>
                <c:pt idx="93">
                  <c:v>348036.125</c:v>
                </c:pt>
                <c:pt idx="94">
                  <c:v>273013.21875</c:v>
                </c:pt>
                <c:pt idx="95">
                  <c:v>260886.53125</c:v>
                </c:pt>
                <c:pt idx="96">
                  <c:v>242169.5625</c:v>
                </c:pt>
                <c:pt idx="97">
                  <c:v>240440.796875</c:v>
                </c:pt>
                <c:pt idx="98">
                  <c:v>222073.65625</c:v>
                </c:pt>
                <c:pt idx="99">
                  <c:v>205127.1875</c:v>
                </c:pt>
                <c:pt idx="100">
                  <c:v>209093.8125</c:v>
                </c:pt>
                <c:pt idx="101">
                  <c:v>192971.734375</c:v>
                </c:pt>
                <c:pt idx="102">
                  <c:v>181194.046875</c:v>
                </c:pt>
                <c:pt idx="103">
                  <c:v>166963.03125</c:v>
                </c:pt>
                <c:pt idx="104">
                  <c:v>164328.03125</c:v>
                </c:pt>
                <c:pt idx="105">
                  <c:v>162783.71875</c:v>
                </c:pt>
                <c:pt idx="106">
                  <c:v>152897.09375</c:v>
                </c:pt>
                <c:pt idx="107">
                  <c:v>139191.265625</c:v>
                </c:pt>
                <c:pt idx="108">
                  <c:v>128371.125</c:v>
                </c:pt>
                <c:pt idx="109">
                  <c:v>128365.3125</c:v>
                </c:pt>
                <c:pt idx="110">
                  <c:v>112815.03125</c:v>
                </c:pt>
                <c:pt idx="111">
                  <c:v>75679.015625</c:v>
                </c:pt>
                <c:pt idx="112">
                  <c:v>65356.9140625</c:v>
                </c:pt>
                <c:pt idx="113">
                  <c:v>51430.16015625</c:v>
                </c:pt>
                <c:pt idx="114">
                  <c:v>31490.21484375</c:v>
                </c:pt>
                <c:pt idx="115">
                  <c:v>11286.2353515625</c:v>
                </c:pt>
                <c:pt idx="116">
                  <c:v>-2758.54516601562</c:v>
                </c:pt>
                <c:pt idx="117">
                  <c:v>-16021.166015625</c:v>
                </c:pt>
                <c:pt idx="118">
                  <c:v>-23454.55859375</c:v>
                </c:pt>
                <c:pt idx="119">
                  <c:v>-18845.728515625</c:v>
                </c:pt>
                <c:pt idx="120">
                  <c:v>-23342.615234375</c:v>
                </c:pt>
                <c:pt idx="121">
                  <c:v>-40432.03515625</c:v>
                </c:pt>
                <c:pt idx="122">
                  <c:v>-53668.61328125</c:v>
                </c:pt>
                <c:pt idx="123">
                  <c:v>-36637.3828125</c:v>
                </c:pt>
                <c:pt idx="124">
                  <c:v>-41674.24609375</c:v>
                </c:pt>
                <c:pt idx="125">
                  <c:v>-39565.8515625</c:v>
                </c:pt>
                <c:pt idx="126">
                  <c:v>-16157.189453125</c:v>
                </c:pt>
                <c:pt idx="127">
                  <c:v>11304.2158203125</c:v>
                </c:pt>
                <c:pt idx="128">
                  <c:v>16749.3046875</c:v>
                </c:pt>
                <c:pt idx="129">
                  <c:v>36469.19140625</c:v>
                </c:pt>
                <c:pt idx="130">
                  <c:v>47529.38671875</c:v>
                </c:pt>
                <c:pt idx="131">
                  <c:v>87763.296875</c:v>
                </c:pt>
                <c:pt idx="132">
                  <c:v>128152.7578125</c:v>
                </c:pt>
                <c:pt idx="133">
                  <c:v>142883.609375</c:v>
                </c:pt>
                <c:pt idx="134">
                  <c:v>138853.1875</c:v>
                </c:pt>
                <c:pt idx="135">
                  <c:v>130783.796875</c:v>
                </c:pt>
                <c:pt idx="136">
                  <c:v>143556.609375</c:v>
                </c:pt>
                <c:pt idx="137">
                  <c:v>142260</c:v>
                </c:pt>
                <c:pt idx="138">
                  <c:v>139721.515625</c:v>
                </c:pt>
                <c:pt idx="139">
                  <c:v>126278.875</c:v>
                </c:pt>
                <c:pt idx="140">
                  <c:v>130073.234375</c:v>
                </c:pt>
                <c:pt idx="141">
                  <c:v>125172.5859375</c:v>
                </c:pt>
                <c:pt idx="142">
                  <c:v>111445.96875</c:v>
                </c:pt>
                <c:pt idx="143">
                  <c:v>101384.1796875</c:v>
                </c:pt>
                <c:pt idx="144">
                  <c:v>97799.296875</c:v>
                </c:pt>
                <c:pt idx="145">
                  <c:v>93464.0859375</c:v>
                </c:pt>
                <c:pt idx="146">
                  <c:v>81920.265625</c:v>
                </c:pt>
                <c:pt idx="147">
                  <c:v>78875.671875</c:v>
                </c:pt>
                <c:pt idx="148">
                  <c:v>77314.2109375</c:v>
                </c:pt>
                <c:pt idx="149">
                  <c:v>74210.7890625</c:v>
                </c:pt>
                <c:pt idx="150">
                  <c:v>74612.71875</c:v>
                </c:pt>
                <c:pt idx="151">
                  <c:v>69981.84375</c:v>
                </c:pt>
                <c:pt idx="152">
                  <c:v>70625.9140625</c:v>
                </c:pt>
                <c:pt idx="153">
                  <c:v>67691.21875</c:v>
                </c:pt>
                <c:pt idx="154">
                  <c:v>73728.734375</c:v>
                </c:pt>
                <c:pt idx="155">
                  <c:v>74082.84375</c:v>
                </c:pt>
                <c:pt idx="156">
                  <c:v>86541.0234375</c:v>
                </c:pt>
                <c:pt idx="157">
                  <c:v>89442.265625</c:v>
                </c:pt>
                <c:pt idx="158">
                  <c:v>92018.140625</c:v>
                </c:pt>
                <c:pt idx="159">
                  <c:v>80101.828125</c:v>
                </c:pt>
                <c:pt idx="160">
                  <c:v>70955.96875</c:v>
                </c:pt>
                <c:pt idx="161">
                  <c:v>61254.0703125</c:v>
                </c:pt>
                <c:pt idx="162">
                  <c:v>66529.109375</c:v>
                </c:pt>
                <c:pt idx="163">
                  <c:v>53666.578125</c:v>
                </c:pt>
                <c:pt idx="164">
                  <c:v>31572.228515625</c:v>
                </c:pt>
                <c:pt idx="165">
                  <c:v>30864.09375</c:v>
                </c:pt>
                <c:pt idx="166">
                  <c:v>25767.08984375</c:v>
                </c:pt>
                <c:pt idx="167">
                  <c:v>13660.7001953125</c:v>
                </c:pt>
                <c:pt idx="168">
                  <c:v>-6621.30712890625</c:v>
                </c:pt>
                <c:pt idx="169">
                  <c:v>5123.01220703125</c:v>
                </c:pt>
                <c:pt idx="170">
                  <c:v>11516.2763671875</c:v>
                </c:pt>
                <c:pt idx="171">
                  <c:v>14606.873046875</c:v>
                </c:pt>
                <c:pt idx="172">
                  <c:v>-3320.64306640625</c:v>
                </c:pt>
                <c:pt idx="173">
                  <c:v>-3470.68603515625</c:v>
                </c:pt>
                <c:pt idx="174">
                  <c:v>-1865.36193847656</c:v>
                </c:pt>
                <c:pt idx="175">
                  <c:v>3486.69018554687</c:v>
                </c:pt>
                <c:pt idx="176">
                  <c:v>12288.4267578125</c:v>
                </c:pt>
                <c:pt idx="177">
                  <c:v>21848.31640625</c:v>
                </c:pt>
                <c:pt idx="178">
                  <c:v>53476.59375</c:v>
                </c:pt>
                <c:pt idx="179">
                  <c:v>92444.4140625</c:v>
                </c:pt>
                <c:pt idx="180">
                  <c:v>101197.9375</c:v>
                </c:pt>
                <c:pt idx="181">
                  <c:v>107549.2109375</c:v>
                </c:pt>
                <c:pt idx="182">
                  <c:v>121725.4765625</c:v>
                </c:pt>
                <c:pt idx="183">
                  <c:v>134880.59375</c:v>
                </c:pt>
                <c:pt idx="184">
                  <c:v>147551.03125</c:v>
                </c:pt>
                <c:pt idx="185">
                  <c:v>146432.9375</c:v>
                </c:pt>
                <c:pt idx="186">
                  <c:v>138737.140625</c:v>
                </c:pt>
                <c:pt idx="187">
                  <c:v>131849.9375</c:v>
                </c:pt>
                <c:pt idx="188">
                  <c:v>128727.3359375</c:v>
                </c:pt>
                <c:pt idx="189">
                  <c:v>132094.03125</c:v>
                </c:pt>
                <c:pt idx="190">
                  <c:v>108787.4140625</c:v>
                </c:pt>
                <c:pt idx="191">
                  <c:v>99153.0546875</c:v>
                </c:pt>
                <c:pt idx="192">
                  <c:v>93824.2578125</c:v>
                </c:pt>
                <c:pt idx="193">
                  <c:v>90526.8984375</c:v>
                </c:pt>
                <c:pt idx="194">
                  <c:v>82114.109375</c:v>
                </c:pt>
                <c:pt idx="195">
                  <c:v>76380.5078125</c:v>
                </c:pt>
                <c:pt idx="196">
                  <c:v>74238.6328125</c:v>
                </c:pt>
                <c:pt idx="197">
                  <c:v>72604.3671875</c:v>
                </c:pt>
                <c:pt idx="198">
                  <c:v>75314.8828125</c:v>
                </c:pt>
                <c:pt idx="199">
                  <c:v>70855.84375</c:v>
                </c:pt>
                <c:pt idx="200">
                  <c:v>68357.15625</c:v>
                </c:pt>
                <c:pt idx="201">
                  <c:v>67781.328125</c:v>
                </c:pt>
                <c:pt idx="202">
                  <c:v>74754.875</c:v>
                </c:pt>
                <c:pt idx="203">
                  <c:v>76569.0546875</c:v>
                </c:pt>
                <c:pt idx="204">
                  <c:v>84757.7734375</c:v>
                </c:pt>
                <c:pt idx="205">
                  <c:v>84466.6640625</c:v>
                </c:pt>
                <c:pt idx="206">
                  <c:v>74778.7578125</c:v>
                </c:pt>
                <c:pt idx="207">
                  <c:v>60954.00390625</c:v>
                </c:pt>
                <c:pt idx="208">
                  <c:v>30431.68359375</c:v>
                </c:pt>
                <c:pt idx="209">
                  <c:v>8491.666015625</c:v>
                </c:pt>
                <c:pt idx="210">
                  <c:v>-16829.32421875</c:v>
                </c:pt>
                <c:pt idx="211">
                  <c:v>-48681.62890625</c:v>
                </c:pt>
                <c:pt idx="212">
                  <c:v>-80131.8671875</c:v>
                </c:pt>
                <c:pt idx="213">
                  <c:v>-94876.7890625</c:v>
                </c:pt>
                <c:pt idx="214">
                  <c:v>-85574.8984375</c:v>
                </c:pt>
                <c:pt idx="215">
                  <c:v>-79119.578125</c:v>
                </c:pt>
                <c:pt idx="216">
                  <c:v>-49367.7890625</c:v>
                </c:pt>
                <c:pt idx="217">
                  <c:v>-69329.6953125</c:v>
                </c:pt>
                <c:pt idx="218">
                  <c:v>-69261.75</c:v>
                </c:pt>
                <c:pt idx="219">
                  <c:v>-67404.40625</c:v>
                </c:pt>
                <c:pt idx="220">
                  <c:v>-29883.939453125</c:v>
                </c:pt>
                <c:pt idx="221">
                  <c:v>-10938.146484375</c:v>
                </c:pt>
                <c:pt idx="222">
                  <c:v>23918.73828125</c:v>
                </c:pt>
                <c:pt idx="223">
                  <c:v>30197.912109375</c:v>
                </c:pt>
                <c:pt idx="224">
                  <c:v>40918.13671875</c:v>
                </c:pt>
                <c:pt idx="225">
                  <c:v>96091</c:v>
                </c:pt>
                <c:pt idx="226">
                  <c:v>134340.328125</c:v>
                </c:pt>
                <c:pt idx="227">
                  <c:v>174928.1875</c:v>
                </c:pt>
                <c:pt idx="228">
                  <c:v>218785.3125</c:v>
                </c:pt>
                <c:pt idx="229">
                  <c:v>255213.5</c:v>
                </c:pt>
                <c:pt idx="230">
                  <c:v>277285.8125</c:v>
                </c:pt>
                <c:pt idx="231">
                  <c:v>283673.125</c:v>
                </c:pt>
                <c:pt idx="232">
                  <c:v>281040.9375</c:v>
                </c:pt>
                <c:pt idx="233">
                  <c:v>285845.78125</c:v>
                </c:pt>
                <c:pt idx="234">
                  <c:v>269015.71875</c:v>
                </c:pt>
                <c:pt idx="235">
                  <c:v>252130.796875</c:v>
                </c:pt>
                <c:pt idx="236">
                  <c:v>234721.515625</c:v>
                </c:pt>
                <c:pt idx="237">
                  <c:v>238613.296875</c:v>
                </c:pt>
                <c:pt idx="238">
                  <c:v>226928.6875</c:v>
                </c:pt>
                <c:pt idx="239">
                  <c:v>198536.125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56C-496D-8852-15F8A0AD9B71}"/>
            </c:ext>
          </c:extLst>
        </c:ser>
        <c:ser>
          <c:idx val="10"/>
          <c:order val="10"/>
          <c:tx>
            <c:strRef>
              <c:f>measured_powers!$AF$252</c:f>
              <c:strCache>
                <c:ptCount val="1"/>
                <c:pt idx="0">
                  <c:v>p_675_B_W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measured_powers!$U$253:$U$492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measured_powers!$AF$253:$AF$492</c:f>
              <c:numCache>
                <c:formatCode>General</c:formatCode>
                <c:ptCount val="240"/>
                <c:pt idx="0">
                  <c:v>21324.66015625</c:v>
                </c:pt>
                <c:pt idx="1">
                  <c:v>20334.34765625</c:v>
                </c:pt>
                <c:pt idx="2">
                  <c:v>15290.7724609375</c:v>
                </c:pt>
                <c:pt idx="3">
                  <c:v>17072.654296875</c:v>
                </c:pt>
                <c:pt idx="4">
                  <c:v>12379.8642578125</c:v>
                </c:pt>
                <c:pt idx="5">
                  <c:v>13101.201171875</c:v>
                </c:pt>
                <c:pt idx="6">
                  <c:v>12237.830078125</c:v>
                </c:pt>
                <c:pt idx="7">
                  <c:v>13008.0703125</c:v>
                </c:pt>
                <c:pt idx="8">
                  <c:v>12904.0302734375</c:v>
                </c:pt>
                <c:pt idx="9">
                  <c:v>14408.501953125</c:v>
                </c:pt>
                <c:pt idx="10">
                  <c:v>15486.8408203125</c:v>
                </c:pt>
                <c:pt idx="11">
                  <c:v>15948.98046875</c:v>
                </c:pt>
                <c:pt idx="12">
                  <c:v>15652.42578125</c:v>
                </c:pt>
                <c:pt idx="13">
                  <c:v>15143.0693359375</c:v>
                </c:pt>
                <c:pt idx="14">
                  <c:v>14466.53515625</c:v>
                </c:pt>
                <c:pt idx="15">
                  <c:v>9684.8896484375</c:v>
                </c:pt>
                <c:pt idx="16">
                  <c:v>8368.7685546875</c:v>
                </c:pt>
                <c:pt idx="17">
                  <c:v>9975.1220703125</c:v>
                </c:pt>
                <c:pt idx="18">
                  <c:v>2177.98754882812</c:v>
                </c:pt>
                <c:pt idx="19">
                  <c:v>-4591.4375</c:v>
                </c:pt>
                <c:pt idx="20">
                  <c:v>-5907.84912109375</c:v>
                </c:pt>
                <c:pt idx="21">
                  <c:v>-7628.3876953125</c:v>
                </c:pt>
                <c:pt idx="22">
                  <c:v>-11972.9580078125</c:v>
                </c:pt>
                <c:pt idx="23">
                  <c:v>-12037.7685546875</c:v>
                </c:pt>
                <c:pt idx="24">
                  <c:v>-11353.5654296875</c:v>
                </c:pt>
                <c:pt idx="25">
                  <c:v>-12812.0234375</c:v>
                </c:pt>
                <c:pt idx="26">
                  <c:v>-13946.373046875</c:v>
                </c:pt>
                <c:pt idx="27">
                  <c:v>-16407.142578125</c:v>
                </c:pt>
                <c:pt idx="28">
                  <c:v>-19047.978515625</c:v>
                </c:pt>
                <c:pt idx="29">
                  <c:v>-20607.875</c:v>
                </c:pt>
                <c:pt idx="30">
                  <c:v>-13498.2255859375</c:v>
                </c:pt>
                <c:pt idx="31">
                  <c:v>-6490.029296875</c:v>
                </c:pt>
                <c:pt idx="32">
                  <c:v>-552.17303466796795</c:v>
                </c:pt>
                <c:pt idx="33">
                  <c:v>7356.3037109375</c:v>
                </c:pt>
                <c:pt idx="34">
                  <c:v>15836.9794921875</c:v>
                </c:pt>
                <c:pt idx="35">
                  <c:v>26384.23828125</c:v>
                </c:pt>
                <c:pt idx="36">
                  <c:v>34580.78125</c:v>
                </c:pt>
                <c:pt idx="37">
                  <c:v>29553.193359375</c:v>
                </c:pt>
                <c:pt idx="38">
                  <c:v>29281.115234375</c:v>
                </c:pt>
                <c:pt idx="39">
                  <c:v>29653.841796875</c:v>
                </c:pt>
                <c:pt idx="40">
                  <c:v>27118.421875</c:v>
                </c:pt>
                <c:pt idx="41">
                  <c:v>35043.125</c:v>
                </c:pt>
                <c:pt idx="42">
                  <c:v>32788.3203125</c:v>
                </c:pt>
                <c:pt idx="43">
                  <c:v>28686.919921875</c:v>
                </c:pt>
                <c:pt idx="44">
                  <c:v>33062.3203125</c:v>
                </c:pt>
                <c:pt idx="45">
                  <c:v>28098.78125</c:v>
                </c:pt>
                <c:pt idx="46">
                  <c:v>32182.05078125</c:v>
                </c:pt>
                <c:pt idx="47">
                  <c:v>26660.33203125</c:v>
                </c:pt>
                <c:pt idx="48">
                  <c:v>24056.216796875</c:v>
                </c:pt>
                <c:pt idx="49">
                  <c:v>19189.9921875</c:v>
                </c:pt>
                <c:pt idx="50">
                  <c:v>15446.826171875</c:v>
                </c:pt>
                <c:pt idx="51">
                  <c:v>13624.9599609375</c:v>
                </c:pt>
                <c:pt idx="52">
                  <c:v>13696.2734375</c:v>
                </c:pt>
                <c:pt idx="53">
                  <c:v>13458.2041015625</c:v>
                </c:pt>
                <c:pt idx="54">
                  <c:v>13512.23046875</c:v>
                </c:pt>
                <c:pt idx="55">
                  <c:v>13816.314453125</c:v>
                </c:pt>
                <c:pt idx="56">
                  <c:v>14492.53125</c:v>
                </c:pt>
                <c:pt idx="57">
                  <c:v>13544.232421875</c:v>
                </c:pt>
                <c:pt idx="58">
                  <c:v>14924.6630859375</c:v>
                </c:pt>
                <c:pt idx="59">
                  <c:v>16045.0107421875</c:v>
                </c:pt>
                <c:pt idx="60">
                  <c:v>15666.41015625</c:v>
                </c:pt>
                <c:pt idx="61">
                  <c:v>17331.4140625</c:v>
                </c:pt>
                <c:pt idx="62">
                  <c:v>14509.33203125</c:v>
                </c:pt>
                <c:pt idx="63">
                  <c:v>11427.9375</c:v>
                </c:pt>
                <c:pt idx="64">
                  <c:v>11609.62890625</c:v>
                </c:pt>
                <c:pt idx="65">
                  <c:v>9486.9677734375</c:v>
                </c:pt>
                <c:pt idx="66">
                  <c:v>2276.71240234375</c:v>
                </c:pt>
                <c:pt idx="67">
                  <c:v>1537.99108886718</c:v>
                </c:pt>
                <c:pt idx="68">
                  <c:v>9797.06640625</c:v>
                </c:pt>
                <c:pt idx="69">
                  <c:v>7950.48681640625</c:v>
                </c:pt>
                <c:pt idx="70">
                  <c:v>9865.0849609375</c:v>
                </c:pt>
                <c:pt idx="71">
                  <c:v>1811.72875976562</c:v>
                </c:pt>
                <c:pt idx="72">
                  <c:v>7426.32421875</c:v>
                </c:pt>
                <c:pt idx="73">
                  <c:v>9338.9267578125</c:v>
                </c:pt>
                <c:pt idx="74">
                  <c:v>17249.578125</c:v>
                </c:pt>
                <c:pt idx="75">
                  <c:v>18147.685546875</c:v>
                </c:pt>
                <c:pt idx="76">
                  <c:v>18885.896484375</c:v>
                </c:pt>
                <c:pt idx="77">
                  <c:v>23715.404296875</c:v>
                </c:pt>
                <c:pt idx="78">
                  <c:v>30961.630859375</c:v>
                </c:pt>
                <c:pt idx="79">
                  <c:v>38845.4375</c:v>
                </c:pt>
                <c:pt idx="80">
                  <c:v>45687.171875</c:v>
                </c:pt>
                <c:pt idx="81">
                  <c:v>51262.00390625</c:v>
                </c:pt>
                <c:pt idx="82">
                  <c:v>58471.11328125</c:v>
                </c:pt>
                <c:pt idx="83">
                  <c:v>63639.6796875</c:v>
                </c:pt>
                <c:pt idx="84">
                  <c:v>63761.63671875</c:v>
                </c:pt>
                <c:pt idx="85">
                  <c:v>64013.625</c:v>
                </c:pt>
                <c:pt idx="86">
                  <c:v>77800.3828125</c:v>
                </c:pt>
                <c:pt idx="87">
                  <c:v>87447.0390625</c:v>
                </c:pt>
                <c:pt idx="88">
                  <c:v>88693.4921875</c:v>
                </c:pt>
                <c:pt idx="89">
                  <c:v>89017.5625</c:v>
                </c:pt>
                <c:pt idx="90">
                  <c:v>87310.234375</c:v>
                </c:pt>
                <c:pt idx="91">
                  <c:v>75181.359375</c:v>
                </c:pt>
                <c:pt idx="92">
                  <c:v>59155.61328125</c:v>
                </c:pt>
                <c:pt idx="93">
                  <c:v>52681.94140625</c:v>
                </c:pt>
                <c:pt idx="94">
                  <c:v>46716.5703125</c:v>
                </c:pt>
                <c:pt idx="95">
                  <c:v>36695.4453125</c:v>
                </c:pt>
                <c:pt idx="96">
                  <c:v>27778.66015625</c:v>
                </c:pt>
                <c:pt idx="97">
                  <c:v>25197.8203125</c:v>
                </c:pt>
                <c:pt idx="98">
                  <c:v>25744.021484375</c:v>
                </c:pt>
                <c:pt idx="99">
                  <c:v>24773.720703125</c:v>
                </c:pt>
                <c:pt idx="100">
                  <c:v>22521.03125</c:v>
                </c:pt>
                <c:pt idx="101">
                  <c:v>24535.62890625</c:v>
                </c:pt>
                <c:pt idx="102">
                  <c:v>22757.10546875</c:v>
                </c:pt>
                <c:pt idx="103">
                  <c:v>18395.748046875</c:v>
                </c:pt>
                <c:pt idx="104">
                  <c:v>20604.435546875</c:v>
                </c:pt>
                <c:pt idx="105">
                  <c:v>20328.34765625</c:v>
                </c:pt>
                <c:pt idx="106">
                  <c:v>20270.322265625</c:v>
                </c:pt>
                <c:pt idx="107">
                  <c:v>19340.046875</c:v>
                </c:pt>
                <c:pt idx="108">
                  <c:v>16217.06640625</c:v>
                </c:pt>
                <c:pt idx="109">
                  <c:v>14517.3076171875</c:v>
                </c:pt>
                <c:pt idx="110">
                  <c:v>13431.9306640625</c:v>
                </c:pt>
                <c:pt idx="111">
                  <c:v>10929.0029296875</c:v>
                </c:pt>
                <c:pt idx="112">
                  <c:v>11475.935546875</c:v>
                </c:pt>
                <c:pt idx="113">
                  <c:v>9016.8193359375</c:v>
                </c:pt>
                <c:pt idx="114">
                  <c:v>7940.484375</c:v>
                </c:pt>
                <c:pt idx="115">
                  <c:v>1432.44848632812</c:v>
                </c:pt>
                <c:pt idx="116">
                  <c:v>1218.38122558593</c:v>
                </c:pt>
                <c:pt idx="117">
                  <c:v>-3034.94970703125</c:v>
                </c:pt>
                <c:pt idx="118">
                  <c:v>-4377.36962890625</c:v>
                </c:pt>
                <c:pt idx="119">
                  <c:v>-9476.9716796875</c:v>
                </c:pt>
                <c:pt idx="120">
                  <c:v>-9214.888671875</c:v>
                </c:pt>
                <c:pt idx="121">
                  <c:v>-5975.875</c:v>
                </c:pt>
                <c:pt idx="122">
                  <c:v>-5473.71533203125</c:v>
                </c:pt>
                <c:pt idx="123">
                  <c:v>900.082763671875</c:v>
                </c:pt>
                <c:pt idx="124">
                  <c:v>-5343.67333984375</c:v>
                </c:pt>
                <c:pt idx="125">
                  <c:v>-2170.67919921875</c:v>
                </c:pt>
                <c:pt idx="126">
                  <c:v>-3921.2255859375</c:v>
                </c:pt>
                <c:pt idx="127">
                  <c:v>390.122314453125</c:v>
                </c:pt>
                <c:pt idx="128">
                  <c:v>4107.287109375</c:v>
                </c:pt>
                <c:pt idx="129">
                  <c:v>5285.6552734375</c:v>
                </c:pt>
                <c:pt idx="130">
                  <c:v>12325.931640625</c:v>
                </c:pt>
                <c:pt idx="131">
                  <c:v>22427.0078125</c:v>
                </c:pt>
                <c:pt idx="132">
                  <c:v>30297.42578125</c:v>
                </c:pt>
                <c:pt idx="133">
                  <c:v>28252.787109375</c:v>
                </c:pt>
                <c:pt idx="134">
                  <c:v>27122.486328125</c:v>
                </c:pt>
                <c:pt idx="135">
                  <c:v>26588.291015625</c:v>
                </c:pt>
                <c:pt idx="136">
                  <c:v>23973.873046875</c:v>
                </c:pt>
                <c:pt idx="137">
                  <c:v>23647.392578125</c:v>
                </c:pt>
                <c:pt idx="138">
                  <c:v>21934.85546875</c:v>
                </c:pt>
                <c:pt idx="139">
                  <c:v>23251.259765625</c:v>
                </c:pt>
                <c:pt idx="140">
                  <c:v>23891.44140625</c:v>
                </c:pt>
                <c:pt idx="141">
                  <c:v>22763.109375</c:v>
                </c:pt>
                <c:pt idx="142">
                  <c:v>25021.8125</c:v>
                </c:pt>
                <c:pt idx="143">
                  <c:v>23769.421875</c:v>
                </c:pt>
                <c:pt idx="144">
                  <c:v>18929.908203125</c:v>
                </c:pt>
                <c:pt idx="145">
                  <c:v>16959.55078125</c:v>
                </c:pt>
                <c:pt idx="146">
                  <c:v>15423.4140625</c:v>
                </c:pt>
                <c:pt idx="147">
                  <c:v>14219.9208984375</c:v>
                </c:pt>
                <c:pt idx="148">
                  <c:v>14970.6611328125</c:v>
                </c:pt>
                <c:pt idx="149">
                  <c:v>13030.078125</c:v>
                </c:pt>
                <c:pt idx="150">
                  <c:v>12950.046875</c:v>
                </c:pt>
                <c:pt idx="151">
                  <c:v>12241.8251953125</c:v>
                </c:pt>
                <c:pt idx="152">
                  <c:v>13396.185546875</c:v>
                </c:pt>
                <c:pt idx="153">
                  <c:v>12954.0380859375</c:v>
                </c:pt>
                <c:pt idx="154">
                  <c:v>14530.556640625</c:v>
                </c:pt>
                <c:pt idx="155">
                  <c:v>14840.654296875</c:v>
                </c:pt>
                <c:pt idx="156">
                  <c:v>15284.78515625</c:v>
                </c:pt>
                <c:pt idx="157">
                  <c:v>16067.017578125</c:v>
                </c:pt>
                <c:pt idx="158">
                  <c:v>16255.080078125</c:v>
                </c:pt>
                <c:pt idx="159">
                  <c:v>17379.4296875</c:v>
                </c:pt>
                <c:pt idx="160">
                  <c:v>13874.333984375</c:v>
                </c:pt>
                <c:pt idx="161">
                  <c:v>14966.6748046875</c:v>
                </c:pt>
                <c:pt idx="162">
                  <c:v>13642.2607421875</c:v>
                </c:pt>
                <c:pt idx="163">
                  <c:v>10365.2470703125</c:v>
                </c:pt>
                <c:pt idx="164">
                  <c:v>4495.40869140625</c:v>
                </c:pt>
                <c:pt idx="165">
                  <c:v>5899.84765625</c:v>
                </c:pt>
                <c:pt idx="166">
                  <c:v>4845.97265625</c:v>
                </c:pt>
                <c:pt idx="167">
                  <c:v>9614.8828125</c:v>
                </c:pt>
                <c:pt idx="168">
                  <c:v>7146.236328125</c:v>
                </c:pt>
                <c:pt idx="169">
                  <c:v>9498.9716796875</c:v>
                </c:pt>
                <c:pt idx="170">
                  <c:v>9472.962890625</c:v>
                </c:pt>
                <c:pt idx="171">
                  <c:v>9917.1005859375</c:v>
                </c:pt>
                <c:pt idx="172">
                  <c:v>6094.36328125</c:v>
                </c:pt>
                <c:pt idx="173">
                  <c:v>5109.6015625</c:v>
                </c:pt>
                <c:pt idx="174">
                  <c:v>5211.63232421875</c:v>
                </c:pt>
                <c:pt idx="175">
                  <c:v>7414.322265625</c:v>
                </c:pt>
                <c:pt idx="176">
                  <c:v>3717.9794921875</c:v>
                </c:pt>
                <c:pt idx="177">
                  <c:v>9320.9150390625</c:v>
                </c:pt>
                <c:pt idx="178">
                  <c:v>16111.04296875</c:v>
                </c:pt>
                <c:pt idx="179">
                  <c:v>18517.78125</c:v>
                </c:pt>
                <c:pt idx="180">
                  <c:v>20890.521484375</c:v>
                </c:pt>
                <c:pt idx="181">
                  <c:v>22242.939453125</c:v>
                </c:pt>
                <c:pt idx="182">
                  <c:v>27037.67578125</c:v>
                </c:pt>
                <c:pt idx="183">
                  <c:v>26308.224609375</c:v>
                </c:pt>
                <c:pt idx="184">
                  <c:v>25045.826171875</c:v>
                </c:pt>
                <c:pt idx="185">
                  <c:v>22691.091796875</c:v>
                </c:pt>
                <c:pt idx="186">
                  <c:v>25351.91796875</c:v>
                </c:pt>
                <c:pt idx="187">
                  <c:v>24821.78515625</c:v>
                </c:pt>
                <c:pt idx="188">
                  <c:v>27420.5625</c:v>
                </c:pt>
                <c:pt idx="189">
                  <c:v>24549.658203125</c:v>
                </c:pt>
                <c:pt idx="190">
                  <c:v>27982.720703125</c:v>
                </c:pt>
                <c:pt idx="191">
                  <c:v>24603.828125</c:v>
                </c:pt>
                <c:pt idx="192">
                  <c:v>18305.890625</c:v>
                </c:pt>
                <c:pt idx="193">
                  <c:v>16219.0791015625</c:v>
                </c:pt>
                <c:pt idx="194">
                  <c:v>14762.62109375</c:v>
                </c:pt>
                <c:pt idx="195">
                  <c:v>13348.16796875</c:v>
                </c:pt>
                <c:pt idx="196">
                  <c:v>12795.9990234375</c:v>
                </c:pt>
                <c:pt idx="197">
                  <c:v>12577.9306640625</c:v>
                </c:pt>
                <c:pt idx="198">
                  <c:v>12739.98046875</c:v>
                </c:pt>
                <c:pt idx="199">
                  <c:v>11899.7099609375</c:v>
                </c:pt>
                <c:pt idx="200">
                  <c:v>13591.0166015625</c:v>
                </c:pt>
                <c:pt idx="201">
                  <c:v>15223.3974609375</c:v>
                </c:pt>
                <c:pt idx="202">
                  <c:v>14667.9189453125</c:v>
                </c:pt>
                <c:pt idx="203">
                  <c:v>14862.650390625</c:v>
                </c:pt>
                <c:pt idx="204">
                  <c:v>13754.28515625</c:v>
                </c:pt>
                <c:pt idx="205">
                  <c:v>15244.763671875</c:v>
                </c:pt>
                <c:pt idx="206">
                  <c:v>13404.1884765625</c:v>
                </c:pt>
                <c:pt idx="207">
                  <c:v>12435.8837890625</c:v>
                </c:pt>
                <c:pt idx="208">
                  <c:v>8456.6376953125</c:v>
                </c:pt>
                <c:pt idx="209">
                  <c:v>2144.67041015625</c:v>
                </c:pt>
                <c:pt idx="210">
                  <c:v>-3499.09741210937</c:v>
                </c:pt>
                <c:pt idx="211">
                  <c:v>-9681.033203125</c:v>
                </c:pt>
                <c:pt idx="212">
                  <c:v>-10917.4296875</c:v>
                </c:pt>
                <c:pt idx="213">
                  <c:v>-14854.6474609375</c:v>
                </c:pt>
                <c:pt idx="214">
                  <c:v>-19272.044921875</c:v>
                </c:pt>
                <c:pt idx="215">
                  <c:v>-20524.44140625</c:v>
                </c:pt>
                <c:pt idx="216">
                  <c:v>-14640.5849609375</c:v>
                </c:pt>
                <c:pt idx="217">
                  <c:v>-6582.06103515625</c:v>
                </c:pt>
                <c:pt idx="218">
                  <c:v>-6662.0830078125</c:v>
                </c:pt>
                <c:pt idx="219">
                  <c:v>-2058.64770507812</c:v>
                </c:pt>
                <c:pt idx="220">
                  <c:v>-1872.58740234375</c:v>
                </c:pt>
                <c:pt idx="221">
                  <c:v>8808.7587890625</c:v>
                </c:pt>
                <c:pt idx="222">
                  <c:v>10417.9423828125</c:v>
                </c:pt>
                <c:pt idx="223">
                  <c:v>8398.626953125</c:v>
                </c:pt>
                <c:pt idx="224">
                  <c:v>10541.2958984375</c:v>
                </c:pt>
                <c:pt idx="225">
                  <c:v>14816.6279296875</c:v>
                </c:pt>
                <c:pt idx="226">
                  <c:v>27634.556640625</c:v>
                </c:pt>
                <c:pt idx="227">
                  <c:v>32011.98046875</c:v>
                </c:pt>
                <c:pt idx="228">
                  <c:v>38721.8359375</c:v>
                </c:pt>
                <c:pt idx="229">
                  <c:v>51029.74609375</c:v>
                </c:pt>
                <c:pt idx="230">
                  <c:v>55019.078125</c:v>
                </c:pt>
                <c:pt idx="231">
                  <c:v>52236.09765625</c:v>
                </c:pt>
                <c:pt idx="232">
                  <c:v>49939.61328125</c:v>
                </c:pt>
                <c:pt idx="233">
                  <c:v>58588.36328125</c:v>
                </c:pt>
                <c:pt idx="234">
                  <c:v>53292.67578125</c:v>
                </c:pt>
                <c:pt idx="235">
                  <c:v>51786.11328125</c:v>
                </c:pt>
                <c:pt idx="236">
                  <c:v>46372.4375</c:v>
                </c:pt>
                <c:pt idx="237">
                  <c:v>37313.64453125</c:v>
                </c:pt>
                <c:pt idx="238">
                  <c:v>33694.515625</c:v>
                </c:pt>
                <c:pt idx="239">
                  <c:v>28726.927734375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56C-496D-8852-15F8A0AD9B71}"/>
            </c:ext>
          </c:extLst>
        </c:ser>
        <c:ser>
          <c:idx val="11"/>
          <c:order val="11"/>
          <c:tx>
            <c:strRef>
              <c:f>measured_powers!$AG$252</c:f>
              <c:strCache>
                <c:ptCount val="1"/>
                <c:pt idx="0">
                  <c:v>p_675_C_W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measured_powers!$U$253:$U$492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measured_powers!$AG$253:$AG$492</c:f>
              <c:numCache>
                <c:formatCode>General</c:formatCode>
                <c:ptCount val="240"/>
                <c:pt idx="0">
                  <c:v>62722.22265625</c:v>
                </c:pt>
                <c:pt idx="1">
                  <c:v>64759.3515625</c:v>
                </c:pt>
                <c:pt idx="2">
                  <c:v>54305.5390625</c:v>
                </c:pt>
                <c:pt idx="3">
                  <c:v>49290.09765625</c:v>
                </c:pt>
                <c:pt idx="4">
                  <c:v>51010.4453125</c:v>
                </c:pt>
                <c:pt idx="5">
                  <c:v>50652.33203125</c:v>
                </c:pt>
                <c:pt idx="6">
                  <c:v>50536.27734375</c:v>
                </c:pt>
                <c:pt idx="7">
                  <c:v>46709.06640625</c:v>
                </c:pt>
                <c:pt idx="8">
                  <c:v>47643.3984375</c:v>
                </c:pt>
                <c:pt idx="9">
                  <c:v>44874.48046875</c:v>
                </c:pt>
                <c:pt idx="10">
                  <c:v>46276.87109375</c:v>
                </c:pt>
                <c:pt idx="11">
                  <c:v>48075.44921875</c:v>
                </c:pt>
                <c:pt idx="12">
                  <c:v>48461.234375</c:v>
                </c:pt>
                <c:pt idx="13">
                  <c:v>51626.83203125</c:v>
                </c:pt>
                <c:pt idx="14">
                  <c:v>48761.73046875</c:v>
                </c:pt>
                <c:pt idx="15">
                  <c:v>35525.46484375</c:v>
                </c:pt>
                <c:pt idx="16">
                  <c:v>28207.09765625</c:v>
                </c:pt>
                <c:pt idx="17">
                  <c:v>15096.8701171875</c:v>
                </c:pt>
                <c:pt idx="18">
                  <c:v>1516.4892578125</c:v>
                </c:pt>
                <c:pt idx="19">
                  <c:v>-12297.97265625</c:v>
                </c:pt>
                <c:pt idx="20">
                  <c:v>-20306.552734375</c:v>
                </c:pt>
                <c:pt idx="21">
                  <c:v>-27554.8984375</c:v>
                </c:pt>
                <c:pt idx="22">
                  <c:v>-46965.5625</c:v>
                </c:pt>
                <c:pt idx="23">
                  <c:v>-44738.48046875</c:v>
                </c:pt>
                <c:pt idx="24">
                  <c:v>-50425.70703125</c:v>
                </c:pt>
                <c:pt idx="25">
                  <c:v>-50122.18359375</c:v>
                </c:pt>
                <c:pt idx="26">
                  <c:v>-52230.8125</c:v>
                </c:pt>
                <c:pt idx="27">
                  <c:v>-63458.5</c:v>
                </c:pt>
                <c:pt idx="28">
                  <c:v>-59457.21875</c:v>
                </c:pt>
                <c:pt idx="29">
                  <c:v>-48571.69921875</c:v>
                </c:pt>
                <c:pt idx="30">
                  <c:v>-25280.173828125</c:v>
                </c:pt>
                <c:pt idx="31">
                  <c:v>-6791.96044921875</c:v>
                </c:pt>
                <c:pt idx="32">
                  <c:v>6195.99609375</c:v>
                </c:pt>
                <c:pt idx="33">
                  <c:v>27989.0234375</c:v>
                </c:pt>
                <c:pt idx="34">
                  <c:v>58588.91796875</c:v>
                </c:pt>
                <c:pt idx="35">
                  <c:v>91328.3359375</c:v>
                </c:pt>
                <c:pt idx="36">
                  <c:v>111073.8984375</c:v>
                </c:pt>
                <c:pt idx="37">
                  <c:v>122827.578125</c:v>
                </c:pt>
                <c:pt idx="38">
                  <c:v>118270.203125</c:v>
                </c:pt>
                <c:pt idx="39">
                  <c:v>119336.46875</c:v>
                </c:pt>
                <c:pt idx="40">
                  <c:v>117519.953125</c:v>
                </c:pt>
                <c:pt idx="41">
                  <c:v>114715.2890625</c:v>
                </c:pt>
                <c:pt idx="42">
                  <c:v>108881.0546875</c:v>
                </c:pt>
                <c:pt idx="43">
                  <c:v>109901.296875</c:v>
                </c:pt>
                <c:pt idx="44">
                  <c:v>100464.09375</c:v>
                </c:pt>
                <c:pt idx="45">
                  <c:v>84581.28125</c:v>
                </c:pt>
                <c:pt idx="46">
                  <c:v>67321.734375</c:v>
                </c:pt>
                <c:pt idx="47">
                  <c:v>63650.3828125</c:v>
                </c:pt>
                <c:pt idx="48">
                  <c:v>60621.5390625</c:v>
                </c:pt>
                <c:pt idx="49">
                  <c:v>58035.71875</c:v>
                </c:pt>
                <c:pt idx="50">
                  <c:v>48853.71484375</c:v>
                </c:pt>
                <c:pt idx="51">
                  <c:v>50116.94921875</c:v>
                </c:pt>
                <c:pt idx="52">
                  <c:v>55065.75390625</c:v>
                </c:pt>
                <c:pt idx="53">
                  <c:v>54081.43359375</c:v>
                </c:pt>
                <c:pt idx="54">
                  <c:v>51790.69921875</c:v>
                </c:pt>
                <c:pt idx="55">
                  <c:v>46525.03515625</c:v>
                </c:pt>
                <c:pt idx="56">
                  <c:v>49027.8203125</c:v>
                </c:pt>
                <c:pt idx="57">
                  <c:v>45614.703125</c:v>
                </c:pt>
                <c:pt idx="58">
                  <c:v>44751.73828125</c:v>
                </c:pt>
                <c:pt idx="59">
                  <c:v>44975.0703125</c:v>
                </c:pt>
                <c:pt idx="60">
                  <c:v>48129.67578125</c:v>
                </c:pt>
                <c:pt idx="61">
                  <c:v>50196.18359375</c:v>
                </c:pt>
                <c:pt idx="62">
                  <c:v>45748.765625</c:v>
                </c:pt>
                <c:pt idx="63">
                  <c:v>41067.23828125</c:v>
                </c:pt>
                <c:pt idx="64">
                  <c:v>34747.2109375</c:v>
                </c:pt>
                <c:pt idx="65">
                  <c:v>25682.28125</c:v>
                </c:pt>
                <c:pt idx="66">
                  <c:v>17367.607421875</c:v>
                </c:pt>
                <c:pt idx="67">
                  <c:v>7006.26318359375</c:v>
                </c:pt>
                <c:pt idx="68">
                  <c:v>13068.21875</c:v>
                </c:pt>
                <c:pt idx="69">
                  <c:v>15347.7275390625</c:v>
                </c:pt>
                <c:pt idx="70">
                  <c:v>15545.0263671875</c:v>
                </c:pt>
                <c:pt idx="71">
                  <c:v>14310.2724609375</c:v>
                </c:pt>
                <c:pt idx="72">
                  <c:v>28161.083984375</c:v>
                </c:pt>
                <c:pt idx="73">
                  <c:v>41375.3515625</c:v>
                </c:pt>
                <c:pt idx="74">
                  <c:v>41813.74609375</c:v>
                </c:pt>
                <c:pt idx="75">
                  <c:v>67427.6875</c:v>
                </c:pt>
                <c:pt idx="76">
                  <c:v>91719.59375</c:v>
                </c:pt>
                <c:pt idx="77">
                  <c:v>108238.875</c:v>
                </c:pt>
                <c:pt idx="78">
                  <c:v>131268.375</c:v>
                </c:pt>
                <c:pt idx="79">
                  <c:v>146292.859375</c:v>
                </c:pt>
                <c:pt idx="80">
                  <c:v>149841.90625</c:v>
                </c:pt>
                <c:pt idx="81">
                  <c:v>186011.90625</c:v>
                </c:pt>
                <c:pt idx="82">
                  <c:v>216611.515625</c:v>
                </c:pt>
                <c:pt idx="83">
                  <c:v>248331.046875</c:v>
                </c:pt>
                <c:pt idx="84">
                  <c:v>268961.03125</c:v>
                </c:pt>
                <c:pt idx="85">
                  <c:v>273358.1875</c:v>
                </c:pt>
                <c:pt idx="86">
                  <c:v>292264.25</c:v>
                </c:pt>
                <c:pt idx="87">
                  <c:v>297245.9375</c:v>
                </c:pt>
                <c:pt idx="88">
                  <c:v>291364.4375</c:v>
                </c:pt>
                <c:pt idx="89">
                  <c:v>276151.9375</c:v>
                </c:pt>
                <c:pt idx="90">
                  <c:v>250126.78125</c:v>
                </c:pt>
                <c:pt idx="91">
                  <c:v>248281.890625</c:v>
                </c:pt>
                <c:pt idx="92">
                  <c:v>208268.71875</c:v>
                </c:pt>
                <c:pt idx="93">
                  <c:v>179451.765625</c:v>
                </c:pt>
                <c:pt idx="94">
                  <c:v>157791.078125</c:v>
                </c:pt>
                <c:pt idx="95">
                  <c:v>142743.96875</c:v>
                </c:pt>
                <c:pt idx="96">
                  <c:v>126260.7265625</c:v>
                </c:pt>
                <c:pt idx="97">
                  <c:v>123193.71875</c:v>
                </c:pt>
                <c:pt idx="98">
                  <c:v>109107.21875</c:v>
                </c:pt>
                <c:pt idx="99">
                  <c:v>101880.8359375</c:v>
                </c:pt>
                <c:pt idx="100">
                  <c:v>108679.1015625</c:v>
                </c:pt>
                <c:pt idx="101">
                  <c:v>112386.3046875</c:v>
                </c:pt>
                <c:pt idx="102">
                  <c:v>106248.15625</c:v>
                </c:pt>
                <c:pt idx="103">
                  <c:v>98357.5703125</c:v>
                </c:pt>
                <c:pt idx="104">
                  <c:v>90363.5390625</c:v>
                </c:pt>
                <c:pt idx="105">
                  <c:v>85077.53125</c:v>
                </c:pt>
                <c:pt idx="106">
                  <c:v>80591.9921875</c:v>
                </c:pt>
                <c:pt idx="107">
                  <c:v>69962.59375</c:v>
                </c:pt>
                <c:pt idx="108">
                  <c:v>62512.19921875</c:v>
                </c:pt>
                <c:pt idx="109">
                  <c:v>62556.12109375</c:v>
                </c:pt>
                <c:pt idx="110">
                  <c:v>56232.11328125</c:v>
                </c:pt>
                <c:pt idx="111">
                  <c:v>47905.46875</c:v>
                </c:pt>
                <c:pt idx="112">
                  <c:v>37083.9609375</c:v>
                </c:pt>
                <c:pt idx="113">
                  <c:v>29445.5</c:v>
                </c:pt>
                <c:pt idx="114">
                  <c:v>15110.876953125</c:v>
                </c:pt>
                <c:pt idx="115">
                  <c:v>6073.9619140625</c:v>
                </c:pt>
                <c:pt idx="116">
                  <c:v>84.027153015136705</c:v>
                </c:pt>
                <c:pt idx="117">
                  <c:v>-9515.0810546875</c:v>
                </c:pt>
                <c:pt idx="118">
                  <c:v>-13334.3115234375</c:v>
                </c:pt>
                <c:pt idx="119">
                  <c:v>-12657.3974609375</c:v>
                </c:pt>
                <c:pt idx="120">
                  <c:v>-19096.16015625</c:v>
                </c:pt>
                <c:pt idx="121">
                  <c:v>-34078.98828125</c:v>
                </c:pt>
                <c:pt idx="122">
                  <c:v>-32742.568359375</c:v>
                </c:pt>
                <c:pt idx="123">
                  <c:v>-13832.46484375</c:v>
                </c:pt>
                <c:pt idx="124">
                  <c:v>-13812.462890625</c:v>
                </c:pt>
                <c:pt idx="125">
                  <c:v>-16761.41796875</c:v>
                </c:pt>
                <c:pt idx="126">
                  <c:v>-5241.69482421875</c:v>
                </c:pt>
                <c:pt idx="127">
                  <c:v>17497.640625</c:v>
                </c:pt>
                <c:pt idx="128">
                  <c:v>24169.794921875</c:v>
                </c:pt>
                <c:pt idx="129">
                  <c:v>34461.1171875</c:v>
                </c:pt>
                <c:pt idx="130">
                  <c:v>40645.11328125</c:v>
                </c:pt>
                <c:pt idx="131">
                  <c:v>61159.69140625</c:v>
                </c:pt>
                <c:pt idx="132">
                  <c:v>76724.6875</c:v>
                </c:pt>
                <c:pt idx="133">
                  <c:v>81190.203125</c:v>
                </c:pt>
                <c:pt idx="134">
                  <c:v>76136.6015625</c:v>
                </c:pt>
                <c:pt idx="135">
                  <c:v>81306.2734375</c:v>
                </c:pt>
                <c:pt idx="136">
                  <c:v>83997.109375</c:v>
                </c:pt>
                <c:pt idx="137">
                  <c:v>88834.6484375</c:v>
                </c:pt>
                <c:pt idx="138">
                  <c:v>82008.4453125</c:v>
                </c:pt>
                <c:pt idx="139">
                  <c:v>76456.6875</c:v>
                </c:pt>
                <c:pt idx="140">
                  <c:v>69868.4453125</c:v>
                </c:pt>
                <c:pt idx="141">
                  <c:v>64609.64453125</c:v>
                </c:pt>
                <c:pt idx="142">
                  <c:v>59833.32421875</c:v>
                </c:pt>
                <c:pt idx="143">
                  <c:v>59177.140625</c:v>
                </c:pt>
                <c:pt idx="144">
                  <c:v>55892.0546875</c:v>
                </c:pt>
                <c:pt idx="145">
                  <c:v>54947.7109375</c:v>
                </c:pt>
                <c:pt idx="146">
                  <c:v>46290.9375</c:v>
                </c:pt>
                <c:pt idx="147">
                  <c:v>45474.671875</c:v>
                </c:pt>
                <c:pt idx="148">
                  <c:v>50730.34765625</c:v>
                </c:pt>
                <c:pt idx="149">
                  <c:v>45350.66015625</c:v>
                </c:pt>
                <c:pt idx="150">
                  <c:v>46110.8828125</c:v>
                </c:pt>
                <c:pt idx="151">
                  <c:v>42371.62109375</c:v>
                </c:pt>
                <c:pt idx="152">
                  <c:v>41415.75390625</c:v>
                </c:pt>
                <c:pt idx="153">
                  <c:v>37984.3046875</c:v>
                </c:pt>
                <c:pt idx="154">
                  <c:v>41003.2265625</c:v>
                </c:pt>
                <c:pt idx="155">
                  <c:v>43726.109375</c:v>
                </c:pt>
                <c:pt idx="156">
                  <c:v>51022.44921875</c:v>
                </c:pt>
                <c:pt idx="157">
                  <c:v>48677.734375</c:v>
                </c:pt>
                <c:pt idx="158">
                  <c:v>53615.3046875</c:v>
                </c:pt>
                <c:pt idx="159">
                  <c:v>43455.953125</c:v>
                </c:pt>
                <c:pt idx="160">
                  <c:v>40190.5546875</c:v>
                </c:pt>
                <c:pt idx="161">
                  <c:v>37412.2421875</c:v>
                </c:pt>
                <c:pt idx="162">
                  <c:v>33213.75390625</c:v>
                </c:pt>
                <c:pt idx="163">
                  <c:v>22621.291015625</c:v>
                </c:pt>
                <c:pt idx="164">
                  <c:v>14330.619140625</c:v>
                </c:pt>
                <c:pt idx="165">
                  <c:v>22585.287109375</c:v>
                </c:pt>
                <c:pt idx="166">
                  <c:v>16067.1845703125</c:v>
                </c:pt>
                <c:pt idx="167">
                  <c:v>15054.8583984375</c:v>
                </c:pt>
                <c:pt idx="168">
                  <c:v>9973.2197265625</c:v>
                </c:pt>
                <c:pt idx="169">
                  <c:v>3991.28881835937</c:v>
                </c:pt>
                <c:pt idx="170">
                  <c:v>11211.62109375</c:v>
                </c:pt>
                <c:pt idx="171">
                  <c:v>9741.9404296875</c:v>
                </c:pt>
                <c:pt idx="172">
                  <c:v>9920.25390625</c:v>
                </c:pt>
                <c:pt idx="173">
                  <c:v>7870.5380859375</c:v>
                </c:pt>
                <c:pt idx="174">
                  <c:v>5949.91796875</c:v>
                </c:pt>
                <c:pt idx="175">
                  <c:v>11237.6279296875</c:v>
                </c:pt>
                <c:pt idx="176">
                  <c:v>15338.951171875</c:v>
                </c:pt>
                <c:pt idx="177">
                  <c:v>23829.693359375</c:v>
                </c:pt>
                <c:pt idx="178">
                  <c:v>36803.87109375</c:v>
                </c:pt>
                <c:pt idx="179">
                  <c:v>55493.9609375</c:v>
                </c:pt>
                <c:pt idx="180">
                  <c:v>68942.28125</c:v>
                </c:pt>
                <c:pt idx="181">
                  <c:v>73743.84375</c:v>
                </c:pt>
                <c:pt idx="182">
                  <c:v>71782.7890625</c:v>
                </c:pt>
                <c:pt idx="183">
                  <c:v>74259.984375</c:v>
                </c:pt>
                <c:pt idx="184">
                  <c:v>85173.46875</c:v>
                </c:pt>
                <c:pt idx="185">
                  <c:v>86707.8203125</c:v>
                </c:pt>
                <c:pt idx="186">
                  <c:v>82799.5703125</c:v>
                </c:pt>
                <c:pt idx="187">
                  <c:v>73526.3359375</c:v>
                </c:pt>
                <c:pt idx="188">
                  <c:v>75454.3671875</c:v>
                </c:pt>
                <c:pt idx="189">
                  <c:v>66693.5390625</c:v>
                </c:pt>
                <c:pt idx="190">
                  <c:v>60661.6015625</c:v>
                </c:pt>
                <c:pt idx="191">
                  <c:v>56202.44921875</c:v>
                </c:pt>
                <c:pt idx="192">
                  <c:v>52040.765625</c:v>
                </c:pt>
                <c:pt idx="193">
                  <c:v>53441.22265625</c:v>
                </c:pt>
                <c:pt idx="194">
                  <c:v>46494.97265625</c:v>
                </c:pt>
                <c:pt idx="195">
                  <c:v>46639.0703125</c:v>
                </c:pt>
                <c:pt idx="196">
                  <c:v>50638.33984375</c:v>
                </c:pt>
                <c:pt idx="197">
                  <c:v>47569.27734375</c:v>
                </c:pt>
                <c:pt idx="198">
                  <c:v>47903.421875</c:v>
                </c:pt>
                <c:pt idx="199">
                  <c:v>42459.71875</c:v>
                </c:pt>
                <c:pt idx="200">
                  <c:v>41790.40234375</c:v>
                </c:pt>
                <c:pt idx="201">
                  <c:v>37970.2421875</c:v>
                </c:pt>
                <c:pt idx="202">
                  <c:v>41621.4375</c:v>
                </c:pt>
                <c:pt idx="203">
                  <c:v>39948.87890625</c:v>
                </c:pt>
                <c:pt idx="204">
                  <c:v>43025.87890625</c:v>
                </c:pt>
                <c:pt idx="205">
                  <c:v>46490.9765625</c:v>
                </c:pt>
                <c:pt idx="206">
                  <c:v>43313.94140625</c:v>
                </c:pt>
                <c:pt idx="207">
                  <c:v>41058.6484375</c:v>
                </c:pt>
                <c:pt idx="208">
                  <c:v>21424.4140625</c:v>
                </c:pt>
                <c:pt idx="209">
                  <c:v>7342.82568359375</c:v>
                </c:pt>
                <c:pt idx="210">
                  <c:v>-4687.51123046875</c:v>
                </c:pt>
                <c:pt idx="211">
                  <c:v>-20148.2109375</c:v>
                </c:pt>
                <c:pt idx="212">
                  <c:v>-40324.44140625</c:v>
                </c:pt>
                <c:pt idx="213">
                  <c:v>-46474.95703125</c:v>
                </c:pt>
                <c:pt idx="214">
                  <c:v>-49596</c:v>
                </c:pt>
                <c:pt idx="215">
                  <c:v>-46661.0546875</c:v>
                </c:pt>
                <c:pt idx="216">
                  <c:v>-40303.02734375</c:v>
                </c:pt>
                <c:pt idx="217">
                  <c:v>-54151.4921875</c:v>
                </c:pt>
                <c:pt idx="218">
                  <c:v>-48611.72265625</c:v>
                </c:pt>
                <c:pt idx="219">
                  <c:v>-47251.73828125</c:v>
                </c:pt>
                <c:pt idx="220">
                  <c:v>-24275.83984375</c:v>
                </c:pt>
                <c:pt idx="221">
                  <c:v>-10675.4443359375</c:v>
                </c:pt>
                <c:pt idx="222">
                  <c:v>13394.3271484375</c:v>
                </c:pt>
                <c:pt idx="223">
                  <c:v>28613.224609375</c:v>
                </c:pt>
                <c:pt idx="224">
                  <c:v>40789.1796875</c:v>
                </c:pt>
                <c:pt idx="225">
                  <c:v>66957.6640625</c:v>
                </c:pt>
                <c:pt idx="226">
                  <c:v>87348.28125</c:v>
                </c:pt>
                <c:pt idx="227">
                  <c:v>111165.859375</c:v>
                </c:pt>
                <c:pt idx="228">
                  <c:v>137396.4375</c:v>
                </c:pt>
                <c:pt idx="229">
                  <c:v>149972.515625</c:v>
                </c:pt>
                <c:pt idx="230">
                  <c:v>162444.359375</c:v>
                </c:pt>
                <c:pt idx="231">
                  <c:v>164849.171875</c:v>
                </c:pt>
                <c:pt idx="232">
                  <c:v>163630.640625</c:v>
                </c:pt>
                <c:pt idx="233">
                  <c:v>154213.875</c:v>
                </c:pt>
                <c:pt idx="234">
                  <c:v>149748.4375</c:v>
                </c:pt>
                <c:pt idx="235">
                  <c:v>134411.515625</c:v>
                </c:pt>
                <c:pt idx="236">
                  <c:v>121795.265625</c:v>
                </c:pt>
                <c:pt idx="237">
                  <c:v>111669.421875</c:v>
                </c:pt>
                <c:pt idx="238">
                  <c:v>109545.1171875</c:v>
                </c:pt>
                <c:pt idx="239">
                  <c:v>91999.5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56C-496D-8852-15F8A0AD9B71}"/>
            </c:ext>
          </c:extLst>
        </c:ser>
        <c:ser>
          <c:idx val="12"/>
          <c:order val="12"/>
          <c:tx>
            <c:strRef>
              <c:f>measured_powers!$AH$252</c:f>
              <c:strCache>
                <c:ptCount val="1"/>
                <c:pt idx="0">
                  <c:v>p_692_C_W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measured_powers!$U$253:$U$492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measured_powers!$AH$253:$AH$492</c:f>
              <c:numCache>
                <c:formatCode>General</c:formatCode>
                <c:ptCount val="240"/>
                <c:pt idx="0">
                  <c:v>34798.53125</c:v>
                </c:pt>
                <c:pt idx="1">
                  <c:v>31855.81640625</c:v>
                </c:pt>
                <c:pt idx="2">
                  <c:v>29831.298828125</c:v>
                </c:pt>
                <c:pt idx="3">
                  <c:v>27050.392578125</c:v>
                </c:pt>
                <c:pt idx="4">
                  <c:v>25418.193359375</c:v>
                </c:pt>
                <c:pt idx="5">
                  <c:v>24015.8515625</c:v>
                </c:pt>
                <c:pt idx="6">
                  <c:v>22567.46875</c:v>
                </c:pt>
                <c:pt idx="7">
                  <c:v>23661.728515625</c:v>
                </c:pt>
                <c:pt idx="8">
                  <c:v>23331.765625</c:v>
                </c:pt>
                <c:pt idx="9">
                  <c:v>22665.53125</c:v>
                </c:pt>
                <c:pt idx="10">
                  <c:v>21759.302734375</c:v>
                </c:pt>
                <c:pt idx="11">
                  <c:v>23861.8359375</c:v>
                </c:pt>
                <c:pt idx="12">
                  <c:v>27092.37109375</c:v>
                </c:pt>
                <c:pt idx="13">
                  <c:v>29788.326171875</c:v>
                </c:pt>
                <c:pt idx="14">
                  <c:v>34473.48046875</c:v>
                </c:pt>
                <c:pt idx="15">
                  <c:v>31459.65625</c:v>
                </c:pt>
                <c:pt idx="16">
                  <c:v>33150.0625</c:v>
                </c:pt>
                <c:pt idx="17">
                  <c:v>33300.1015625</c:v>
                </c:pt>
                <c:pt idx="18">
                  <c:v>33718.1875</c:v>
                </c:pt>
                <c:pt idx="19">
                  <c:v>29785.494140625</c:v>
                </c:pt>
                <c:pt idx="20">
                  <c:v>32511.869140625</c:v>
                </c:pt>
                <c:pt idx="21">
                  <c:v>31381.6015625</c:v>
                </c:pt>
                <c:pt idx="22">
                  <c:v>32232.486328125</c:v>
                </c:pt>
                <c:pt idx="23">
                  <c:v>34858.41015625</c:v>
                </c:pt>
                <c:pt idx="24">
                  <c:v>38733.35546875</c:v>
                </c:pt>
                <c:pt idx="25">
                  <c:v>39913.64453125</c:v>
                </c:pt>
                <c:pt idx="26">
                  <c:v>42218.17578125</c:v>
                </c:pt>
                <c:pt idx="27">
                  <c:v>40981.90234375</c:v>
                </c:pt>
                <c:pt idx="28">
                  <c:v>46585.16015625</c:v>
                </c:pt>
                <c:pt idx="29">
                  <c:v>48411.71875</c:v>
                </c:pt>
                <c:pt idx="30">
                  <c:v>54132.046875</c:v>
                </c:pt>
                <c:pt idx="31">
                  <c:v>56081.6328125</c:v>
                </c:pt>
                <c:pt idx="32">
                  <c:v>53825.01171875</c:v>
                </c:pt>
                <c:pt idx="33">
                  <c:v>50748.33984375</c:v>
                </c:pt>
                <c:pt idx="34">
                  <c:v>52306.8125</c:v>
                </c:pt>
                <c:pt idx="35">
                  <c:v>66442.328125</c:v>
                </c:pt>
                <c:pt idx="36">
                  <c:v>61793.203125</c:v>
                </c:pt>
                <c:pt idx="37">
                  <c:v>55713.68359375</c:v>
                </c:pt>
                <c:pt idx="38">
                  <c:v>56177.81640625</c:v>
                </c:pt>
                <c:pt idx="39">
                  <c:v>61525.06640625</c:v>
                </c:pt>
                <c:pt idx="40">
                  <c:v>55291.6015625</c:v>
                </c:pt>
                <c:pt idx="41">
                  <c:v>49487.4921875</c:v>
                </c:pt>
                <c:pt idx="42">
                  <c:v>50696.44921875</c:v>
                </c:pt>
                <c:pt idx="43">
                  <c:v>47003.4921875</c:v>
                </c:pt>
                <c:pt idx="44">
                  <c:v>42339.2890625</c:v>
                </c:pt>
                <c:pt idx="45">
                  <c:v>44468.890625</c:v>
                </c:pt>
                <c:pt idx="46">
                  <c:v>40447.90625</c:v>
                </c:pt>
                <c:pt idx="47">
                  <c:v>33798.24609375</c:v>
                </c:pt>
                <c:pt idx="48">
                  <c:v>31301.5859375</c:v>
                </c:pt>
                <c:pt idx="49">
                  <c:v>27008.599609375</c:v>
                </c:pt>
                <c:pt idx="50">
                  <c:v>27666.740234375</c:v>
                </c:pt>
                <c:pt idx="51">
                  <c:v>22665.220703125</c:v>
                </c:pt>
                <c:pt idx="52">
                  <c:v>23761.7890625</c:v>
                </c:pt>
                <c:pt idx="53">
                  <c:v>20865.083984375</c:v>
                </c:pt>
                <c:pt idx="54">
                  <c:v>24906.025390625</c:v>
                </c:pt>
                <c:pt idx="55">
                  <c:v>21551.33203125</c:v>
                </c:pt>
                <c:pt idx="56">
                  <c:v>22437.4765625</c:v>
                </c:pt>
                <c:pt idx="57">
                  <c:v>21665.287109375</c:v>
                </c:pt>
                <c:pt idx="58">
                  <c:v>22111.40625</c:v>
                </c:pt>
                <c:pt idx="59">
                  <c:v>22445.166015625</c:v>
                </c:pt>
                <c:pt idx="60">
                  <c:v>26379.66015625</c:v>
                </c:pt>
                <c:pt idx="61">
                  <c:v>30977.537109375</c:v>
                </c:pt>
                <c:pt idx="62">
                  <c:v>29555.228515625</c:v>
                </c:pt>
                <c:pt idx="63">
                  <c:v>37651.36328125</c:v>
                </c:pt>
                <c:pt idx="64">
                  <c:v>35891.3984375</c:v>
                </c:pt>
                <c:pt idx="65">
                  <c:v>40629.85546875</c:v>
                </c:pt>
                <c:pt idx="66">
                  <c:v>35610.65234375</c:v>
                </c:pt>
                <c:pt idx="67">
                  <c:v>44256.7578125</c:v>
                </c:pt>
                <c:pt idx="68">
                  <c:v>47297.5078125</c:v>
                </c:pt>
                <c:pt idx="69">
                  <c:v>50080.13671875</c:v>
                </c:pt>
                <c:pt idx="70">
                  <c:v>59362.484375</c:v>
                </c:pt>
                <c:pt idx="71">
                  <c:v>61554.44140625</c:v>
                </c:pt>
                <c:pt idx="72">
                  <c:v>76664.75</c:v>
                </c:pt>
                <c:pt idx="73">
                  <c:v>77342.84375</c:v>
                </c:pt>
                <c:pt idx="74">
                  <c:v>79165.328125</c:v>
                </c:pt>
                <c:pt idx="75">
                  <c:v>89630.03125</c:v>
                </c:pt>
                <c:pt idx="76">
                  <c:v>94155.1015625</c:v>
                </c:pt>
                <c:pt idx="77">
                  <c:v>96985.1796875</c:v>
                </c:pt>
                <c:pt idx="78">
                  <c:v>104471.640625</c:v>
                </c:pt>
                <c:pt idx="79">
                  <c:v>112535.5546875</c:v>
                </c:pt>
                <c:pt idx="80">
                  <c:v>118609.9921875</c:v>
                </c:pt>
                <c:pt idx="81">
                  <c:v>129790.078125</c:v>
                </c:pt>
                <c:pt idx="82">
                  <c:v>138347.234375</c:v>
                </c:pt>
                <c:pt idx="83">
                  <c:v>152013.84375</c:v>
                </c:pt>
                <c:pt idx="84">
                  <c:v>167458.109375</c:v>
                </c:pt>
                <c:pt idx="85">
                  <c:v>175507.890625</c:v>
                </c:pt>
                <c:pt idx="86">
                  <c:v>168980.390625</c:v>
                </c:pt>
                <c:pt idx="87">
                  <c:v>159255.703125</c:v>
                </c:pt>
                <c:pt idx="88">
                  <c:v>157593.828125</c:v>
                </c:pt>
                <c:pt idx="89">
                  <c:v>163747</c:v>
                </c:pt>
                <c:pt idx="90">
                  <c:v>148133.328125</c:v>
                </c:pt>
                <c:pt idx="91">
                  <c:v>134325.59375</c:v>
                </c:pt>
                <c:pt idx="92">
                  <c:v>121576.1953125</c:v>
                </c:pt>
                <c:pt idx="93">
                  <c:v>111730.0703125</c:v>
                </c:pt>
                <c:pt idx="94">
                  <c:v>86277.6796875</c:v>
                </c:pt>
                <c:pt idx="95">
                  <c:v>81870.078125</c:v>
                </c:pt>
                <c:pt idx="96">
                  <c:v>77361.0703125</c:v>
                </c:pt>
                <c:pt idx="97">
                  <c:v>66374.3359375</c:v>
                </c:pt>
                <c:pt idx="98">
                  <c:v>66998.515625</c:v>
                </c:pt>
                <c:pt idx="99">
                  <c:v>60735.1328125</c:v>
                </c:pt>
                <c:pt idx="100">
                  <c:v>57196.18359375</c:v>
                </c:pt>
                <c:pt idx="101">
                  <c:v>52414.97265625</c:v>
                </c:pt>
                <c:pt idx="102">
                  <c:v>51299.3203125</c:v>
                </c:pt>
                <c:pt idx="103">
                  <c:v>46239.2734375</c:v>
                </c:pt>
                <c:pt idx="104">
                  <c:v>47641.66015625</c:v>
                </c:pt>
                <c:pt idx="105">
                  <c:v>45039.02734375</c:v>
                </c:pt>
                <c:pt idx="106">
                  <c:v>41384.0078125</c:v>
                </c:pt>
                <c:pt idx="107">
                  <c:v>40819.93359375</c:v>
                </c:pt>
                <c:pt idx="108">
                  <c:v>37831.19921875</c:v>
                </c:pt>
                <c:pt idx="109">
                  <c:v>38137.4296875</c:v>
                </c:pt>
                <c:pt idx="110">
                  <c:v>42698.3203125</c:v>
                </c:pt>
                <c:pt idx="111">
                  <c:v>34380.4140625</c:v>
                </c:pt>
                <c:pt idx="112">
                  <c:v>34856.5</c:v>
                </c:pt>
                <c:pt idx="113">
                  <c:v>34996.52734375</c:v>
                </c:pt>
                <c:pt idx="114">
                  <c:v>31683.7109375</c:v>
                </c:pt>
                <c:pt idx="115">
                  <c:v>32141.82421875</c:v>
                </c:pt>
                <c:pt idx="116">
                  <c:v>28058.826171875</c:v>
                </c:pt>
                <c:pt idx="117">
                  <c:v>29701.228515625</c:v>
                </c:pt>
                <c:pt idx="118">
                  <c:v>29979.287109375</c:v>
                </c:pt>
                <c:pt idx="119">
                  <c:v>31581.646484375</c:v>
                </c:pt>
                <c:pt idx="120">
                  <c:v>35056.49609375</c:v>
                </c:pt>
                <c:pt idx="121">
                  <c:v>34356.3203125</c:v>
                </c:pt>
                <c:pt idx="122">
                  <c:v>30775.451171875</c:v>
                </c:pt>
                <c:pt idx="123">
                  <c:v>27580.69921875</c:v>
                </c:pt>
                <c:pt idx="124">
                  <c:v>28546.923828125</c:v>
                </c:pt>
                <c:pt idx="125">
                  <c:v>31094.857421875</c:v>
                </c:pt>
                <c:pt idx="126">
                  <c:v>34610.4140625</c:v>
                </c:pt>
                <c:pt idx="127">
                  <c:v>32160.791015625</c:v>
                </c:pt>
                <c:pt idx="128">
                  <c:v>28166.83984375</c:v>
                </c:pt>
                <c:pt idx="129">
                  <c:v>35956.7421875</c:v>
                </c:pt>
                <c:pt idx="130">
                  <c:v>34126.7578125</c:v>
                </c:pt>
                <c:pt idx="131">
                  <c:v>37901.24609375</c:v>
                </c:pt>
                <c:pt idx="132">
                  <c:v>49088.03515625</c:v>
                </c:pt>
                <c:pt idx="133">
                  <c:v>49450.08984375</c:v>
                </c:pt>
                <c:pt idx="134">
                  <c:v>42888.53125</c:v>
                </c:pt>
                <c:pt idx="135">
                  <c:v>41422.41015625</c:v>
                </c:pt>
                <c:pt idx="136">
                  <c:v>49016.078125</c:v>
                </c:pt>
                <c:pt idx="137">
                  <c:v>45833.21484375</c:v>
                </c:pt>
                <c:pt idx="138">
                  <c:v>47479.62109375</c:v>
                </c:pt>
                <c:pt idx="139">
                  <c:v>42020.29296875</c:v>
                </c:pt>
                <c:pt idx="140">
                  <c:v>39403.61328125</c:v>
                </c:pt>
                <c:pt idx="141">
                  <c:v>39765.75</c:v>
                </c:pt>
                <c:pt idx="142">
                  <c:v>36712.98828125</c:v>
                </c:pt>
                <c:pt idx="143">
                  <c:v>30871.59765625</c:v>
                </c:pt>
                <c:pt idx="144">
                  <c:v>28426.95703125</c:v>
                </c:pt>
                <c:pt idx="145">
                  <c:v>22239.384765625</c:v>
                </c:pt>
                <c:pt idx="146">
                  <c:v>23141.654296875</c:v>
                </c:pt>
                <c:pt idx="147">
                  <c:v>22479.50390625</c:v>
                </c:pt>
                <c:pt idx="148">
                  <c:v>20078.953125</c:v>
                </c:pt>
                <c:pt idx="149">
                  <c:v>19832.857421875</c:v>
                </c:pt>
                <c:pt idx="150">
                  <c:v>21781.31640625</c:v>
                </c:pt>
                <c:pt idx="151">
                  <c:v>20689.0390625</c:v>
                </c:pt>
                <c:pt idx="152">
                  <c:v>21385.224609375</c:v>
                </c:pt>
                <c:pt idx="153">
                  <c:v>19808.841796875</c:v>
                </c:pt>
                <c:pt idx="154">
                  <c:v>22371.19140625</c:v>
                </c:pt>
                <c:pt idx="155">
                  <c:v>21501.669921875</c:v>
                </c:pt>
                <c:pt idx="156">
                  <c:v>26910.52734375</c:v>
                </c:pt>
                <c:pt idx="157">
                  <c:v>30983.671875</c:v>
                </c:pt>
                <c:pt idx="158">
                  <c:v>33976.296875</c:v>
                </c:pt>
                <c:pt idx="159">
                  <c:v>32289.970703125</c:v>
                </c:pt>
                <c:pt idx="160">
                  <c:v>36102.828125</c:v>
                </c:pt>
                <c:pt idx="161">
                  <c:v>33876.28515625</c:v>
                </c:pt>
                <c:pt idx="162">
                  <c:v>33392.16015625</c:v>
                </c:pt>
                <c:pt idx="163">
                  <c:v>32503.900390625</c:v>
                </c:pt>
                <c:pt idx="164">
                  <c:v>31227.5859375</c:v>
                </c:pt>
                <c:pt idx="165">
                  <c:v>35528.63671875</c:v>
                </c:pt>
                <c:pt idx="166">
                  <c:v>32075.796875</c:v>
                </c:pt>
                <c:pt idx="167">
                  <c:v>30825.494140625</c:v>
                </c:pt>
                <c:pt idx="168">
                  <c:v>31127.55859375</c:v>
                </c:pt>
                <c:pt idx="169">
                  <c:v>34362.35546875</c:v>
                </c:pt>
                <c:pt idx="170">
                  <c:v>32811.98046875</c:v>
                </c:pt>
                <c:pt idx="171">
                  <c:v>31519.67578125</c:v>
                </c:pt>
                <c:pt idx="172">
                  <c:v>24948.640625</c:v>
                </c:pt>
                <c:pt idx="173">
                  <c:v>27082.568359375</c:v>
                </c:pt>
                <c:pt idx="174">
                  <c:v>27406.63671875</c:v>
                </c:pt>
                <c:pt idx="175">
                  <c:v>23589.734375</c:v>
                </c:pt>
                <c:pt idx="176">
                  <c:v>24223.888671875</c:v>
                </c:pt>
                <c:pt idx="177">
                  <c:v>27384.66015625</c:v>
                </c:pt>
                <c:pt idx="178">
                  <c:v>38671.3984375</c:v>
                </c:pt>
                <c:pt idx="179">
                  <c:v>46379.3515625</c:v>
                </c:pt>
                <c:pt idx="180">
                  <c:v>45991.2578125</c:v>
                </c:pt>
                <c:pt idx="181">
                  <c:v>46813.47265625</c:v>
                </c:pt>
                <c:pt idx="182">
                  <c:v>43906.19921875</c:v>
                </c:pt>
                <c:pt idx="183">
                  <c:v>44420.94921875</c:v>
                </c:pt>
                <c:pt idx="184">
                  <c:v>45077.03515625</c:v>
                </c:pt>
                <c:pt idx="185">
                  <c:v>44836.95703125</c:v>
                </c:pt>
                <c:pt idx="186">
                  <c:v>46335.375</c:v>
                </c:pt>
                <c:pt idx="187">
                  <c:v>42270.41796875</c:v>
                </c:pt>
                <c:pt idx="188">
                  <c:v>37141.09765625</c:v>
                </c:pt>
                <c:pt idx="189">
                  <c:v>43366.62890625</c:v>
                </c:pt>
                <c:pt idx="190">
                  <c:v>31853.802734375</c:v>
                </c:pt>
                <c:pt idx="191">
                  <c:v>33040.92578125</c:v>
                </c:pt>
                <c:pt idx="192">
                  <c:v>27602.7265625</c:v>
                </c:pt>
                <c:pt idx="193">
                  <c:v>25938.2734375</c:v>
                </c:pt>
                <c:pt idx="194">
                  <c:v>25114.087890625</c:v>
                </c:pt>
                <c:pt idx="195">
                  <c:v>21825.39453125</c:v>
                </c:pt>
                <c:pt idx="196">
                  <c:v>20460.994140625</c:v>
                </c:pt>
                <c:pt idx="197">
                  <c:v>20639.02734375</c:v>
                </c:pt>
                <c:pt idx="198">
                  <c:v>22117.39453125</c:v>
                </c:pt>
                <c:pt idx="199">
                  <c:v>24770.044921875</c:v>
                </c:pt>
                <c:pt idx="200">
                  <c:v>22267.35546875</c:v>
                </c:pt>
                <c:pt idx="201">
                  <c:v>21719.279296875</c:v>
                </c:pt>
                <c:pt idx="202">
                  <c:v>22625.541015625</c:v>
                </c:pt>
                <c:pt idx="203">
                  <c:v>23183.625</c:v>
                </c:pt>
                <c:pt idx="204">
                  <c:v>27758.734375</c:v>
                </c:pt>
                <c:pt idx="205">
                  <c:v>28678.99609375</c:v>
                </c:pt>
                <c:pt idx="206">
                  <c:v>32643.962890625</c:v>
                </c:pt>
                <c:pt idx="207">
                  <c:v>33568.20703125</c:v>
                </c:pt>
                <c:pt idx="208">
                  <c:v>32151.890625</c:v>
                </c:pt>
                <c:pt idx="209">
                  <c:v>35478.625</c:v>
                </c:pt>
                <c:pt idx="210">
                  <c:v>31895.732421875</c:v>
                </c:pt>
                <c:pt idx="211">
                  <c:v>29763.193359375</c:v>
                </c:pt>
                <c:pt idx="212">
                  <c:v>26990.515625</c:v>
                </c:pt>
                <c:pt idx="213">
                  <c:v>28674.91796875</c:v>
                </c:pt>
                <c:pt idx="214">
                  <c:v>40797.84765625</c:v>
                </c:pt>
                <c:pt idx="215">
                  <c:v>44366.69921875</c:v>
                </c:pt>
                <c:pt idx="216">
                  <c:v>54437.19140625</c:v>
                </c:pt>
                <c:pt idx="217">
                  <c:v>47911.59765625</c:v>
                </c:pt>
                <c:pt idx="218">
                  <c:v>53477.01953125</c:v>
                </c:pt>
                <c:pt idx="219">
                  <c:v>47365.3359375</c:v>
                </c:pt>
                <c:pt idx="220">
                  <c:v>49381.98046875</c:v>
                </c:pt>
                <c:pt idx="221">
                  <c:v>55863.5</c:v>
                </c:pt>
                <c:pt idx="222">
                  <c:v>61410.953125</c:v>
                </c:pt>
                <c:pt idx="223">
                  <c:v>61398.875</c:v>
                </c:pt>
                <c:pt idx="224">
                  <c:v>60814.82421875</c:v>
                </c:pt>
                <c:pt idx="225">
                  <c:v>67444.515625</c:v>
                </c:pt>
                <c:pt idx="226">
                  <c:v>69699.2109375</c:v>
                </c:pt>
                <c:pt idx="227">
                  <c:v>78147.15625</c:v>
                </c:pt>
                <c:pt idx="228">
                  <c:v>84671.9453125</c:v>
                </c:pt>
                <c:pt idx="229">
                  <c:v>88468.2265625</c:v>
                </c:pt>
                <c:pt idx="230">
                  <c:v>85645.046875</c:v>
                </c:pt>
                <c:pt idx="231">
                  <c:v>83972.6796875</c:v>
                </c:pt>
                <c:pt idx="232">
                  <c:v>88544.671875</c:v>
                </c:pt>
                <c:pt idx="233">
                  <c:v>96357.25</c:v>
                </c:pt>
                <c:pt idx="234">
                  <c:v>84354.3984375</c:v>
                </c:pt>
                <c:pt idx="235">
                  <c:v>82428.671875</c:v>
                </c:pt>
                <c:pt idx="236">
                  <c:v>74816.375</c:v>
                </c:pt>
                <c:pt idx="237">
                  <c:v>85621.5546875</c:v>
                </c:pt>
                <c:pt idx="238">
                  <c:v>75826.578125</c:v>
                </c:pt>
                <c:pt idx="239">
                  <c:v>65147.921875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56C-496D-8852-15F8A0AD9B71}"/>
            </c:ext>
          </c:extLst>
        </c:ser>
        <c:ser>
          <c:idx val="13"/>
          <c:order val="13"/>
          <c:tx>
            <c:strRef>
              <c:f>measured_powers!$AI$252</c:f>
              <c:strCache>
                <c:ptCount val="1"/>
                <c:pt idx="0">
                  <c:v>p_611_C_W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measured_powers!$U$253:$U$492</c:f>
              <c:numCache>
                <c:formatCode>h:mm</c:formatCode>
                <c:ptCount val="240"/>
                <c:pt idx="0">
                  <c:v>2.0833333333333332E-2</c:v>
                </c:pt>
                <c:pt idx="1">
                  <c:v>4.1666666666666664E-2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0.10416666666666667</c:v>
                </c:pt>
                <c:pt idx="5">
                  <c:v>0.125</c:v>
                </c:pt>
                <c:pt idx="6">
                  <c:v>0.14583333333333334</c:v>
                </c:pt>
                <c:pt idx="7">
                  <c:v>0.16666666666666666</c:v>
                </c:pt>
                <c:pt idx="8">
                  <c:v>0.1875</c:v>
                </c:pt>
                <c:pt idx="9">
                  <c:v>0.20833333333333334</c:v>
                </c:pt>
                <c:pt idx="10">
                  <c:v>0.22916666666666666</c:v>
                </c:pt>
                <c:pt idx="11">
                  <c:v>0.25</c:v>
                </c:pt>
                <c:pt idx="12">
                  <c:v>0.27083333333333331</c:v>
                </c:pt>
                <c:pt idx="13">
                  <c:v>0.29166666666666669</c:v>
                </c:pt>
                <c:pt idx="14">
                  <c:v>0.3125</c:v>
                </c:pt>
                <c:pt idx="15">
                  <c:v>0.33333333333333331</c:v>
                </c:pt>
                <c:pt idx="16">
                  <c:v>0.35416666666666669</c:v>
                </c:pt>
                <c:pt idx="17">
                  <c:v>0.375</c:v>
                </c:pt>
                <c:pt idx="18">
                  <c:v>0.39583333333333331</c:v>
                </c:pt>
                <c:pt idx="19">
                  <c:v>0.41666666666666669</c:v>
                </c:pt>
                <c:pt idx="20">
                  <c:v>0.4375</c:v>
                </c:pt>
                <c:pt idx="21">
                  <c:v>0.45833333333333331</c:v>
                </c:pt>
                <c:pt idx="22">
                  <c:v>0.47916666666666669</c:v>
                </c:pt>
                <c:pt idx="23">
                  <c:v>0.5</c:v>
                </c:pt>
                <c:pt idx="24">
                  <c:v>0.52083333333333337</c:v>
                </c:pt>
                <c:pt idx="25">
                  <c:v>0.54166666666666663</c:v>
                </c:pt>
                <c:pt idx="26">
                  <c:v>0.5625</c:v>
                </c:pt>
                <c:pt idx="27">
                  <c:v>0.58333333333333337</c:v>
                </c:pt>
                <c:pt idx="28">
                  <c:v>0.60416666666666663</c:v>
                </c:pt>
                <c:pt idx="29">
                  <c:v>0.625</c:v>
                </c:pt>
                <c:pt idx="30">
                  <c:v>0.64583333333333337</c:v>
                </c:pt>
                <c:pt idx="31">
                  <c:v>0.66666666666666663</c:v>
                </c:pt>
                <c:pt idx="32">
                  <c:v>0.6875</c:v>
                </c:pt>
                <c:pt idx="33">
                  <c:v>0.70833333333333337</c:v>
                </c:pt>
                <c:pt idx="34">
                  <c:v>0.72916666666666663</c:v>
                </c:pt>
                <c:pt idx="35">
                  <c:v>0.75</c:v>
                </c:pt>
                <c:pt idx="36">
                  <c:v>0.77083333333333337</c:v>
                </c:pt>
                <c:pt idx="37">
                  <c:v>0.79166666666666663</c:v>
                </c:pt>
                <c:pt idx="38">
                  <c:v>0.8125</c:v>
                </c:pt>
                <c:pt idx="39">
                  <c:v>0.83333333333333337</c:v>
                </c:pt>
                <c:pt idx="40">
                  <c:v>0.85416666666666663</c:v>
                </c:pt>
                <c:pt idx="41">
                  <c:v>0.875</c:v>
                </c:pt>
                <c:pt idx="42">
                  <c:v>0.89583333333333337</c:v>
                </c:pt>
                <c:pt idx="43">
                  <c:v>0.91666666666666663</c:v>
                </c:pt>
                <c:pt idx="44">
                  <c:v>0.9375</c:v>
                </c:pt>
                <c:pt idx="45">
                  <c:v>0.95833333333333337</c:v>
                </c:pt>
                <c:pt idx="46">
                  <c:v>0.97916666666666663</c:v>
                </c:pt>
                <c:pt idx="47">
                  <c:v>0</c:v>
                </c:pt>
                <c:pt idx="48">
                  <c:v>2.0833333333333332E-2</c:v>
                </c:pt>
                <c:pt idx="49">
                  <c:v>4.1666666666666664E-2</c:v>
                </c:pt>
                <c:pt idx="50">
                  <c:v>6.25E-2</c:v>
                </c:pt>
                <c:pt idx="51">
                  <c:v>8.3333333333333329E-2</c:v>
                </c:pt>
                <c:pt idx="52">
                  <c:v>0.10416666666666667</c:v>
                </c:pt>
                <c:pt idx="53">
                  <c:v>0.125</c:v>
                </c:pt>
                <c:pt idx="54">
                  <c:v>0.14583333333333334</c:v>
                </c:pt>
                <c:pt idx="55">
                  <c:v>0.16666666666666666</c:v>
                </c:pt>
                <c:pt idx="56">
                  <c:v>0.1875</c:v>
                </c:pt>
                <c:pt idx="57">
                  <c:v>0.20833333333333334</c:v>
                </c:pt>
                <c:pt idx="58">
                  <c:v>0.22916666666666666</c:v>
                </c:pt>
                <c:pt idx="59">
                  <c:v>0.25</c:v>
                </c:pt>
                <c:pt idx="60">
                  <c:v>0.27083333333333331</c:v>
                </c:pt>
                <c:pt idx="61">
                  <c:v>0.29166666666666669</c:v>
                </c:pt>
                <c:pt idx="62">
                  <c:v>0.3125</c:v>
                </c:pt>
                <c:pt idx="63">
                  <c:v>0.33333333333333331</c:v>
                </c:pt>
                <c:pt idx="64">
                  <c:v>0.35416666666666669</c:v>
                </c:pt>
                <c:pt idx="65">
                  <c:v>0.375</c:v>
                </c:pt>
                <c:pt idx="66">
                  <c:v>0.39583333333333331</c:v>
                </c:pt>
                <c:pt idx="67">
                  <c:v>0.41666666666666669</c:v>
                </c:pt>
                <c:pt idx="68">
                  <c:v>0.4375</c:v>
                </c:pt>
                <c:pt idx="69">
                  <c:v>0.45833333333333331</c:v>
                </c:pt>
                <c:pt idx="70">
                  <c:v>0.47916666666666669</c:v>
                </c:pt>
                <c:pt idx="71">
                  <c:v>0.5</c:v>
                </c:pt>
                <c:pt idx="72">
                  <c:v>0.52083333333333337</c:v>
                </c:pt>
                <c:pt idx="73">
                  <c:v>0.54166666666666663</c:v>
                </c:pt>
                <c:pt idx="74">
                  <c:v>0.5625</c:v>
                </c:pt>
                <c:pt idx="75">
                  <c:v>0.58333333333333337</c:v>
                </c:pt>
                <c:pt idx="76">
                  <c:v>0.60416666666666663</c:v>
                </c:pt>
                <c:pt idx="77">
                  <c:v>0.625</c:v>
                </c:pt>
                <c:pt idx="78">
                  <c:v>0.64583333333333337</c:v>
                </c:pt>
                <c:pt idx="79">
                  <c:v>0.66666666666666663</c:v>
                </c:pt>
                <c:pt idx="80">
                  <c:v>0.6875</c:v>
                </c:pt>
                <c:pt idx="81">
                  <c:v>0.70833333333333337</c:v>
                </c:pt>
                <c:pt idx="82">
                  <c:v>0.72916666666666663</c:v>
                </c:pt>
                <c:pt idx="83">
                  <c:v>0.75</c:v>
                </c:pt>
                <c:pt idx="84">
                  <c:v>0.77083333333333337</c:v>
                </c:pt>
                <c:pt idx="85">
                  <c:v>0.79166666666666663</c:v>
                </c:pt>
                <c:pt idx="86">
                  <c:v>0.8125</c:v>
                </c:pt>
                <c:pt idx="87">
                  <c:v>0.83333333333333337</c:v>
                </c:pt>
                <c:pt idx="88">
                  <c:v>0.85416666666666663</c:v>
                </c:pt>
                <c:pt idx="89">
                  <c:v>0.875</c:v>
                </c:pt>
                <c:pt idx="90">
                  <c:v>0.89583333333333337</c:v>
                </c:pt>
                <c:pt idx="91">
                  <c:v>0.91666666666666663</c:v>
                </c:pt>
                <c:pt idx="92">
                  <c:v>0.9375</c:v>
                </c:pt>
                <c:pt idx="93">
                  <c:v>0.95833333333333337</c:v>
                </c:pt>
                <c:pt idx="94">
                  <c:v>0.97916666666666663</c:v>
                </c:pt>
                <c:pt idx="95">
                  <c:v>0</c:v>
                </c:pt>
                <c:pt idx="96">
                  <c:v>2.0833333333333332E-2</c:v>
                </c:pt>
                <c:pt idx="97">
                  <c:v>4.1666666666666664E-2</c:v>
                </c:pt>
                <c:pt idx="98">
                  <c:v>6.25E-2</c:v>
                </c:pt>
                <c:pt idx="99">
                  <c:v>8.3333333333333329E-2</c:v>
                </c:pt>
                <c:pt idx="100">
                  <c:v>0.10416666666666667</c:v>
                </c:pt>
                <c:pt idx="101">
                  <c:v>0.125</c:v>
                </c:pt>
                <c:pt idx="102">
                  <c:v>0.14583333333333334</c:v>
                </c:pt>
                <c:pt idx="103">
                  <c:v>0.16666666666666666</c:v>
                </c:pt>
                <c:pt idx="104">
                  <c:v>0.1875</c:v>
                </c:pt>
                <c:pt idx="105">
                  <c:v>0.20833333333333334</c:v>
                </c:pt>
                <c:pt idx="106">
                  <c:v>0.22916666666666666</c:v>
                </c:pt>
                <c:pt idx="107">
                  <c:v>0.25</c:v>
                </c:pt>
                <c:pt idx="108">
                  <c:v>0.27083333333333331</c:v>
                </c:pt>
                <c:pt idx="109">
                  <c:v>0.29166666666666669</c:v>
                </c:pt>
                <c:pt idx="110">
                  <c:v>0.3125</c:v>
                </c:pt>
                <c:pt idx="111">
                  <c:v>0.33333333333333331</c:v>
                </c:pt>
                <c:pt idx="112">
                  <c:v>0.35416666666666669</c:v>
                </c:pt>
                <c:pt idx="113">
                  <c:v>0.375</c:v>
                </c:pt>
                <c:pt idx="114">
                  <c:v>0.39583333333333331</c:v>
                </c:pt>
                <c:pt idx="115">
                  <c:v>0.41666666666666669</c:v>
                </c:pt>
                <c:pt idx="116">
                  <c:v>0.4375</c:v>
                </c:pt>
                <c:pt idx="117">
                  <c:v>0.45833333333333331</c:v>
                </c:pt>
                <c:pt idx="118">
                  <c:v>0.47916666666666669</c:v>
                </c:pt>
                <c:pt idx="119">
                  <c:v>0.5</c:v>
                </c:pt>
                <c:pt idx="120">
                  <c:v>0.52083333333333337</c:v>
                </c:pt>
                <c:pt idx="121">
                  <c:v>0.54166666666666663</c:v>
                </c:pt>
                <c:pt idx="122">
                  <c:v>0.5625</c:v>
                </c:pt>
                <c:pt idx="123">
                  <c:v>0.58333333333333337</c:v>
                </c:pt>
                <c:pt idx="124">
                  <c:v>0.60416666666666663</c:v>
                </c:pt>
                <c:pt idx="125">
                  <c:v>0.625</c:v>
                </c:pt>
                <c:pt idx="126">
                  <c:v>0.64583333333333337</c:v>
                </c:pt>
                <c:pt idx="127">
                  <c:v>0.66666666666666663</c:v>
                </c:pt>
                <c:pt idx="128">
                  <c:v>0.6875</c:v>
                </c:pt>
                <c:pt idx="129">
                  <c:v>0.70833333333333337</c:v>
                </c:pt>
                <c:pt idx="130">
                  <c:v>0.72916666666666663</c:v>
                </c:pt>
                <c:pt idx="131">
                  <c:v>0.75</c:v>
                </c:pt>
                <c:pt idx="132">
                  <c:v>0.77083333333333337</c:v>
                </c:pt>
                <c:pt idx="133">
                  <c:v>0.79166666666666663</c:v>
                </c:pt>
                <c:pt idx="134">
                  <c:v>0.8125</c:v>
                </c:pt>
                <c:pt idx="135">
                  <c:v>0.83333333333333337</c:v>
                </c:pt>
                <c:pt idx="136">
                  <c:v>0.85416666666666663</c:v>
                </c:pt>
                <c:pt idx="137">
                  <c:v>0.875</c:v>
                </c:pt>
                <c:pt idx="138">
                  <c:v>0.89583333333333337</c:v>
                </c:pt>
                <c:pt idx="139">
                  <c:v>0.91666666666666663</c:v>
                </c:pt>
                <c:pt idx="140">
                  <c:v>0.9375</c:v>
                </c:pt>
                <c:pt idx="141">
                  <c:v>0.95833333333333337</c:v>
                </c:pt>
                <c:pt idx="142">
                  <c:v>0.97916666666666663</c:v>
                </c:pt>
                <c:pt idx="143">
                  <c:v>0</c:v>
                </c:pt>
                <c:pt idx="144">
                  <c:v>2.0833333333333332E-2</c:v>
                </c:pt>
                <c:pt idx="145">
                  <c:v>4.1666666666666664E-2</c:v>
                </c:pt>
                <c:pt idx="146">
                  <c:v>6.25E-2</c:v>
                </c:pt>
                <c:pt idx="147">
                  <c:v>8.3333333333333329E-2</c:v>
                </c:pt>
                <c:pt idx="148">
                  <c:v>0.10416666666666667</c:v>
                </c:pt>
                <c:pt idx="149">
                  <c:v>0.125</c:v>
                </c:pt>
                <c:pt idx="150">
                  <c:v>0.14583333333333334</c:v>
                </c:pt>
                <c:pt idx="151">
                  <c:v>0.16666666666666666</c:v>
                </c:pt>
                <c:pt idx="152">
                  <c:v>0.1875</c:v>
                </c:pt>
                <c:pt idx="153">
                  <c:v>0.20833333333333334</c:v>
                </c:pt>
                <c:pt idx="154">
                  <c:v>0.22916666666666666</c:v>
                </c:pt>
                <c:pt idx="155">
                  <c:v>0.25</c:v>
                </c:pt>
                <c:pt idx="156">
                  <c:v>0.27083333333333331</c:v>
                </c:pt>
                <c:pt idx="157">
                  <c:v>0.29166666666666669</c:v>
                </c:pt>
                <c:pt idx="158">
                  <c:v>0.3125</c:v>
                </c:pt>
                <c:pt idx="159">
                  <c:v>0.33333333333333331</c:v>
                </c:pt>
                <c:pt idx="160">
                  <c:v>0.35416666666666669</c:v>
                </c:pt>
                <c:pt idx="161">
                  <c:v>0.375</c:v>
                </c:pt>
                <c:pt idx="162">
                  <c:v>0.39583333333333331</c:v>
                </c:pt>
                <c:pt idx="163">
                  <c:v>0.41666666666666669</c:v>
                </c:pt>
                <c:pt idx="164">
                  <c:v>0.4375</c:v>
                </c:pt>
                <c:pt idx="165">
                  <c:v>0.45833333333333331</c:v>
                </c:pt>
                <c:pt idx="166">
                  <c:v>0.47916666666666669</c:v>
                </c:pt>
                <c:pt idx="167">
                  <c:v>0.5</c:v>
                </c:pt>
                <c:pt idx="168">
                  <c:v>0.52083333333333337</c:v>
                </c:pt>
                <c:pt idx="169">
                  <c:v>0.54166666666666663</c:v>
                </c:pt>
                <c:pt idx="170">
                  <c:v>0.5625</c:v>
                </c:pt>
                <c:pt idx="171">
                  <c:v>0.58333333333333337</c:v>
                </c:pt>
                <c:pt idx="172">
                  <c:v>0.60416666666666663</c:v>
                </c:pt>
                <c:pt idx="173">
                  <c:v>0.625</c:v>
                </c:pt>
                <c:pt idx="174">
                  <c:v>0.64583333333333337</c:v>
                </c:pt>
                <c:pt idx="175">
                  <c:v>0.66666666666666663</c:v>
                </c:pt>
                <c:pt idx="176">
                  <c:v>0.6875</c:v>
                </c:pt>
                <c:pt idx="177">
                  <c:v>0.70833333333333337</c:v>
                </c:pt>
                <c:pt idx="178">
                  <c:v>0.72916666666666663</c:v>
                </c:pt>
                <c:pt idx="179">
                  <c:v>0.75</c:v>
                </c:pt>
                <c:pt idx="180">
                  <c:v>0.77083333333333337</c:v>
                </c:pt>
                <c:pt idx="181">
                  <c:v>0.79166666666666663</c:v>
                </c:pt>
                <c:pt idx="182">
                  <c:v>0.8125</c:v>
                </c:pt>
                <c:pt idx="183">
                  <c:v>0.83333333333333337</c:v>
                </c:pt>
                <c:pt idx="184">
                  <c:v>0.85416666666666663</c:v>
                </c:pt>
                <c:pt idx="185">
                  <c:v>0.875</c:v>
                </c:pt>
                <c:pt idx="186">
                  <c:v>0.89583333333333337</c:v>
                </c:pt>
                <c:pt idx="187">
                  <c:v>0.91666666666666663</c:v>
                </c:pt>
                <c:pt idx="188">
                  <c:v>0.9375</c:v>
                </c:pt>
                <c:pt idx="189">
                  <c:v>0.95833333333333337</c:v>
                </c:pt>
                <c:pt idx="190">
                  <c:v>0.97916666666666663</c:v>
                </c:pt>
                <c:pt idx="191">
                  <c:v>0</c:v>
                </c:pt>
                <c:pt idx="192">
                  <c:v>2.0833333333333332E-2</c:v>
                </c:pt>
                <c:pt idx="193">
                  <c:v>4.1666666666666664E-2</c:v>
                </c:pt>
                <c:pt idx="194">
                  <c:v>6.25E-2</c:v>
                </c:pt>
                <c:pt idx="195">
                  <c:v>8.3333333333333329E-2</c:v>
                </c:pt>
                <c:pt idx="196">
                  <c:v>0.10416666666666667</c:v>
                </c:pt>
                <c:pt idx="197">
                  <c:v>0.125</c:v>
                </c:pt>
                <c:pt idx="198">
                  <c:v>0.14583333333333334</c:v>
                </c:pt>
                <c:pt idx="199">
                  <c:v>0.16666666666666666</c:v>
                </c:pt>
                <c:pt idx="200">
                  <c:v>0.1875</c:v>
                </c:pt>
                <c:pt idx="201">
                  <c:v>0.20833333333333334</c:v>
                </c:pt>
                <c:pt idx="202">
                  <c:v>0.22916666666666666</c:v>
                </c:pt>
                <c:pt idx="203">
                  <c:v>0.25</c:v>
                </c:pt>
                <c:pt idx="204">
                  <c:v>0.27083333333333331</c:v>
                </c:pt>
                <c:pt idx="205">
                  <c:v>0.29166666666666669</c:v>
                </c:pt>
                <c:pt idx="206">
                  <c:v>0.3125</c:v>
                </c:pt>
                <c:pt idx="207">
                  <c:v>0.33333333333333331</c:v>
                </c:pt>
                <c:pt idx="208">
                  <c:v>0.35416666666666669</c:v>
                </c:pt>
                <c:pt idx="209">
                  <c:v>0.375</c:v>
                </c:pt>
                <c:pt idx="210">
                  <c:v>0.39583333333333331</c:v>
                </c:pt>
                <c:pt idx="211">
                  <c:v>0.41666666666666669</c:v>
                </c:pt>
                <c:pt idx="212">
                  <c:v>0.4375</c:v>
                </c:pt>
                <c:pt idx="213">
                  <c:v>0.45833333333333331</c:v>
                </c:pt>
                <c:pt idx="214">
                  <c:v>0.47916666666666669</c:v>
                </c:pt>
                <c:pt idx="215">
                  <c:v>0.5</c:v>
                </c:pt>
                <c:pt idx="216">
                  <c:v>0.52083333333333337</c:v>
                </c:pt>
                <c:pt idx="217">
                  <c:v>0.54166666666666663</c:v>
                </c:pt>
                <c:pt idx="218">
                  <c:v>0.5625</c:v>
                </c:pt>
                <c:pt idx="219">
                  <c:v>0.58333333333333337</c:v>
                </c:pt>
                <c:pt idx="220">
                  <c:v>0.60416666666666663</c:v>
                </c:pt>
                <c:pt idx="221">
                  <c:v>0.625</c:v>
                </c:pt>
                <c:pt idx="222">
                  <c:v>0.64583333333333337</c:v>
                </c:pt>
                <c:pt idx="223">
                  <c:v>0.66666666666666663</c:v>
                </c:pt>
                <c:pt idx="224">
                  <c:v>0.6875</c:v>
                </c:pt>
                <c:pt idx="225">
                  <c:v>0.70833333333333337</c:v>
                </c:pt>
                <c:pt idx="226">
                  <c:v>0.72916666666666663</c:v>
                </c:pt>
                <c:pt idx="227">
                  <c:v>0.75</c:v>
                </c:pt>
                <c:pt idx="228">
                  <c:v>0.77083333333333337</c:v>
                </c:pt>
                <c:pt idx="229">
                  <c:v>0.79166666666666663</c:v>
                </c:pt>
                <c:pt idx="230">
                  <c:v>0.8125</c:v>
                </c:pt>
                <c:pt idx="231">
                  <c:v>0.83333333333333337</c:v>
                </c:pt>
                <c:pt idx="232">
                  <c:v>0.85416666666666663</c:v>
                </c:pt>
                <c:pt idx="233">
                  <c:v>0.875</c:v>
                </c:pt>
                <c:pt idx="234">
                  <c:v>0.89583333333333337</c:v>
                </c:pt>
                <c:pt idx="235">
                  <c:v>0.91666666666666663</c:v>
                </c:pt>
                <c:pt idx="236">
                  <c:v>0.9375</c:v>
                </c:pt>
                <c:pt idx="237">
                  <c:v>0.95833333333333337</c:v>
                </c:pt>
                <c:pt idx="238">
                  <c:v>0.97916666666666663</c:v>
                </c:pt>
                <c:pt idx="239">
                  <c:v>0</c:v>
                </c:pt>
              </c:numCache>
            </c:numRef>
          </c:cat>
          <c:val>
            <c:numRef>
              <c:f>measured_powers!$AI$253:$AI$492</c:f>
              <c:numCache>
                <c:formatCode>General</c:formatCode>
                <c:ptCount val="240"/>
                <c:pt idx="0">
                  <c:v>31957.779296875</c:v>
                </c:pt>
                <c:pt idx="1">
                  <c:v>32701.716796875</c:v>
                </c:pt>
                <c:pt idx="2">
                  <c:v>30475.845703125</c:v>
                </c:pt>
                <c:pt idx="3">
                  <c:v>27853.6171875</c:v>
                </c:pt>
                <c:pt idx="4">
                  <c:v>25262.14453125</c:v>
                </c:pt>
                <c:pt idx="5">
                  <c:v>25276.150390625</c:v>
                </c:pt>
                <c:pt idx="6">
                  <c:v>23793.6640625</c:v>
                </c:pt>
                <c:pt idx="7">
                  <c:v>24583.9296875</c:v>
                </c:pt>
                <c:pt idx="8">
                  <c:v>24699.984375</c:v>
                </c:pt>
                <c:pt idx="9">
                  <c:v>23095.455078125</c:v>
                </c:pt>
                <c:pt idx="10">
                  <c:v>22387.1953125</c:v>
                </c:pt>
                <c:pt idx="11">
                  <c:v>24892.822265625</c:v>
                </c:pt>
                <c:pt idx="12">
                  <c:v>28031.369140625</c:v>
                </c:pt>
                <c:pt idx="13">
                  <c:v>30459.998046875</c:v>
                </c:pt>
                <c:pt idx="14">
                  <c:v>25796.322265625</c:v>
                </c:pt>
                <c:pt idx="15">
                  <c:v>20266.53515625</c:v>
                </c:pt>
                <c:pt idx="16">
                  <c:v>15474.9921875</c:v>
                </c:pt>
                <c:pt idx="17">
                  <c:v>7178.31591796875</c:v>
                </c:pt>
                <c:pt idx="18">
                  <c:v>1466.47314453125</c:v>
                </c:pt>
                <c:pt idx="19">
                  <c:v>-5015.6201171875</c:v>
                </c:pt>
                <c:pt idx="20">
                  <c:v>-11497.7109375</c:v>
                </c:pt>
                <c:pt idx="21">
                  <c:v>-20386.583984375</c:v>
                </c:pt>
                <c:pt idx="22">
                  <c:v>-25077.60546875</c:v>
                </c:pt>
                <c:pt idx="23">
                  <c:v>-23017.4453125</c:v>
                </c:pt>
                <c:pt idx="24">
                  <c:v>-21837.873046875</c:v>
                </c:pt>
                <c:pt idx="25">
                  <c:v>-21194.35546875</c:v>
                </c:pt>
                <c:pt idx="26">
                  <c:v>-19170.169921875</c:v>
                </c:pt>
                <c:pt idx="27">
                  <c:v>-26478.552734375</c:v>
                </c:pt>
                <c:pt idx="28">
                  <c:v>-26292.498046875</c:v>
                </c:pt>
                <c:pt idx="29">
                  <c:v>-22369.228515625</c:v>
                </c:pt>
                <c:pt idx="30">
                  <c:v>-9164.962890625</c:v>
                </c:pt>
                <c:pt idx="31">
                  <c:v>797.99523925781205</c:v>
                </c:pt>
                <c:pt idx="32">
                  <c:v>11983.8603515625</c:v>
                </c:pt>
                <c:pt idx="33">
                  <c:v>17829.748046875</c:v>
                </c:pt>
                <c:pt idx="34">
                  <c:v>24511.916015625</c:v>
                </c:pt>
                <c:pt idx="35">
                  <c:v>44449.0703125</c:v>
                </c:pt>
                <c:pt idx="36">
                  <c:v>49716.0703125</c:v>
                </c:pt>
                <c:pt idx="37">
                  <c:v>50056.1328125</c:v>
                </c:pt>
                <c:pt idx="38">
                  <c:v>55251.8515625</c:v>
                </c:pt>
                <c:pt idx="39">
                  <c:v>58200.80078125</c:v>
                </c:pt>
                <c:pt idx="40">
                  <c:v>53915.4140625</c:v>
                </c:pt>
                <c:pt idx="41">
                  <c:v>52235.6875</c:v>
                </c:pt>
                <c:pt idx="42">
                  <c:v>53263.15625</c:v>
                </c:pt>
                <c:pt idx="43">
                  <c:v>49577.91796875</c:v>
                </c:pt>
                <c:pt idx="44">
                  <c:v>46163.55859375</c:v>
                </c:pt>
                <c:pt idx="45">
                  <c:v>43233.94921875</c:v>
                </c:pt>
                <c:pt idx="46">
                  <c:v>36281.7109375</c:v>
                </c:pt>
                <c:pt idx="47">
                  <c:v>33910.859375</c:v>
                </c:pt>
                <c:pt idx="48">
                  <c:v>28879.30859375</c:v>
                </c:pt>
                <c:pt idx="49">
                  <c:v>25813.806640625</c:v>
                </c:pt>
                <c:pt idx="50">
                  <c:v>27074.72265625</c:v>
                </c:pt>
                <c:pt idx="51">
                  <c:v>24526.19921875</c:v>
                </c:pt>
                <c:pt idx="52">
                  <c:v>27428.84375</c:v>
                </c:pt>
                <c:pt idx="53">
                  <c:v>25594.251953125</c:v>
                </c:pt>
                <c:pt idx="54">
                  <c:v>27354.818359375</c:v>
                </c:pt>
                <c:pt idx="55">
                  <c:v>23671.65234375</c:v>
                </c:pt>
                <c:pt idx="56">
                  <c:v>25236.14453125</c:v>
                </c:pt>
                <c:pt idx="57">
                  <c:v>23545.58984375</c:v>
                </c:pt>
                <c:pt idx="58">
                  <c:v>23893.8671875</c:v>
                </c:pt>
                <c:pt idx="59">
                  <c:v>23401.56640625</c:v>
                </c:pt>
                <c:pt idx="60">
                  <c:v>25436.9375</c:v>
                </c:pt>
                <c:pt idx="61">
                  <c:v>28933.330078125</c:v>
                </c:pt>
                <c:pt idx="62">
                  <c:v>22665.31640625</c:v>
                </c:pt>
                <c:pt idx="63">
                  <c:v>23421.55078125</c:v>
                </c:pt>
                <c:pt idx="64">
                  <c:v>16249.2392578125</c:v>
                </c:pt>
                <c:pt idx="65">
                  <c:v>16337.26953125</c:v>
                </c:pt>
                <c:pt idx="66">
                  <c:v>3050.98510742187</c:v>
                </c:pt>
                <c:pt idx="67">
                  <c:v>2352.76000976562</c:v>
                </c:pt>
                <c:pt idx="68">
                  <c:v>6552.1142578125</c:v>
                </c:pt>
                <c:pt idx="69">
                  <c:v>8544.9619140625</c:v>
                </c:pt>
                <c:pt idx="70">
                  <c:v>14784.7802734375</c:v>
                </c:pt>
                <c:pt idx="71">
                  <c:v>13607.2392578125</c:v>
                </c:pt>
                <c:pt idx="72">
                  <c:v>17729.720703125</c:v>
                </c:pt>
                <c:pt idx="73">
                  <c:v>15004.8427734375</c:v>
                </c:pt>
                <c:pt idx="74">
                  <c:v>9223.947265625</c:v>
                </c:pt>
                <c:pt idx="75">
                  <c:v>22199.203125</c:v>
                </c:pt>
                <c:pt idx="76">
                  <c:v>34931.2734375</c:v>
                </c:pt>
                <c:pt idx="77">
                  <c:v>43642.05859375</c:v>
                </c:pt>
                <c:pt idx="78">
                  <c:v>53843.390625</c:v>
                </c:pt>
                <c:pt idx="79">
                  <c:v>62386.9375</c:v>
                </c:pt>
                <c:pt idx="80">
                  <c:v>75462.5625</c:v>
                </c:pt>
                <c:pt idx="81">
                  <c:v>92947.953125</c:v>
                </c:pt>
                <c:pt idx="82">
                  <c:v>107892.6484375</c:v>
                </c:pt>
                <c:pt idx="83">
                  <c:v>131859.1875</c:v>
                </c:pt>
                <c:pt idx="84">
                  <c:v>153533.828125</c:v>
                </c:pt>
                <c:pt idx="85">
                  <c:v>164101.390625</c:v>
                </c:pt>
                <c:pt idx="86">
                  <c:v>165447.34375</c:v>
                </c:pt>
                <c:pt idx="87">
                  <c:v>164577.171875</c:v>
                </c:pt>
                <c:pt idx="88">
                  <c:v>166894.984375</c:v>
                </c:pt>
                <c:pt idx="89">
                  <c:v>166290.78125</c:v>
                </c:pt>
                <c:pt idx="90">
                  <c:v>158471.953125</c:v>
                </c:pt>
                <c:pt idx="91">
                  <c:v>149132.03125</c:v>
                </c:pt>
                <c:pt idx="92">
                  <c:v>130607.875</c:v>
                </c:pt>
                <c:pt idx="93">
                  <c:v>112816.3359375</c:v>
                </c:pt>
                <c:pt idx="94">
                  <c:v>85305.625</c:v>
                </c:pt>
                <c:pt idx="95">
                  <c:v>83412.875</c:v>
                </c:pt>
                <c:pt idx="96">
                  <c:v>78191.234375</c:v>
                </c:pt>
                <c:pt idx="97">
                  <c:v>70318.6796875</c:v>
                </c:pt>
                <c:pt idx="98">
                  <c:v>69802.5390625</c:v>
                </c:pt>
                <c:pt idx="99">
                  <c:v>64736.87109375</c:v>
                </c:pt>
                <c:pt idx="100">
                  <c:v>64084.703125</c:v>
                </c:pt>
                <c:pt idx="101">
                  <c:v>56672.31640625</c:v>
                </c:pt>
                <c:pt idx="102">
                  <c:v>55965.98046875</c:v>
                </c:pt>
                <c:pt idx="103">
                  <c:v>49447.8515625</c:v>
                </c:pt>
                <c:pt idx="104">
                  <c:v>50803.7578125</c:v>
                </c:pt>
                <c:pt idx="105">
                  <c:v>53056.0078125</c:v>
                </c:pt>
                <c:pt idx="106">
                  <c:v>49553.98046875</c:v>
                </c:pt>
                <c:pt idx="107">
                  <c:v>46999.1796875</c:v>
                </c:pt>
                <c:pt idx="108">
                  <c:v>44482.375</c:v>
                </c:pt>
                <c:pt idx="109">
                  <c:v>41759.44140625</c:v>
                </c:pt>
                <c:pt idx="110">
                  <c:v>40981.19921875</c:v>
                </c:pt>
                <c:pt idx="111">
                  <c:v>23543.6015625</c:v>
                </c:pt>
                <c:pt idx="112">
                  <c:v>20036.462890625</c:v>
                </c:pt>
                <c:pt idx="113">
                  <c:v>11873.8310546875</c:v>
                </c:pt>
                <c:pt idx="114">
                  <c:v>6228.01025390625</c:v>
                </c:pt>
                <c:pt idx="115">
                  <c:v>748.24169921875</c:v>
                </c:pt>
                <c:pt idx="116">
                  <c:v>-8814.8486328125</c:v>
                </c:pt>
                <c:pt idx="117">
                  <c:v>-11287.65625</c:v>
                </c:pt>
                <c:pt idx="118">
                  <c:v>-16281.2646484375</c:v>
                </c:pt>
                <c:pt idx="119">
                  <c:v>-15337.6923828125</c:v>
                </c:pt>
                <c:pt idx="120">
                  <c:v>-13816.45703125</c:v>
                </c:pt>
                <c:pt idx="121">
                  <c:v>-20850.7265625</c:v>
                </c:pt>
                <c:pt idx="122">
                  <c:v>-19918.427734375</c:v>
                </c:pt>
                <c:pt idx="123">
                  <c:v>-13446.3408203125</c:v>
                </c:pt>
                <c:pt idx="124">
                  <c:v>-14326.62890625</c:v>
                </c:pt>
                <c:pt idx="125">
                  <c:v>-15202.9150390625</c:v>
                </c:pt>
                <c:pt idx="126">
                  <c:v>-9943.2158203125</c:v>
                </c:pt>
                <c:pt idx="127">
                  <c:v>-604.19476318359295</c:v>
                </c:pt>
                <c:pt idx="128">
                  <c:v>614.19805908203102</c:v>
                </c:pt>
                <c:pt idx="129">
                  <c:v>12153.9208984375</c:v>
                </c:pt>
                <c:pt idx="130">
                  <c:v>11313.650390625</c:v>
                </c:pt>
                <c:pt idx="131">
                  <c:v>26168.42578125</c:v>
                </c:pt>
                <c:pt idx="132">
                  <c:v>40656.6171875</c:v>
                </c:pt>
                <c:pt idx="133">
                  <c:v>46042.86328125</c:v>
                </c:pt>
                <c:pt idx="134">
                  <c:v>42741.79296875</c:v>
                </c:pt>
                <c:pt idx="135">
                  <c:v>41531.421875</c:v>
                </c:pt>
                <c:pt idx="136">
                  <c:v>52238.86328125</c:v>
                </c:pt>
                <c:pt idx="137">
                  <c:v>50168.1796875</c:v>
                </c:pt>
                <c:pt idx="138">
                  <c:v>46322.94140625</c:v>
                </c:pt>
                <c:pt idx="139">
                  <c:v>41245.3671875</c:v>
                </c:pt>
                <c:pt idx="140">
                  <c:v>38173.69921875</c:v>
                </c:pt>
                <c:pt idx="141">
                  <c:v>36182.10546875</c:v>
                </c:pt>
                <c:pt idx="142">
                  <c:v>35561.48828125</c:v>
                </c:pt>
                <c:pt idx="143">
                  <c:v>30883.990234375</c:v>
                </c:pt>
                <c:pt idx="144">
                  <c:v>25186.138671875</c:v>
                </c:pt>
                <c:pt idx="145">
                  <c:v>22097.123046875</c:v>
                </c:pt>
                <c:pt idx="146">
                  <c:v>23795.67578125</c:v>
                </c:pt>
                <c:pt idx="147">
                  <c:v>22623.30078125</c:v>
                </c:pt>
                <c:pt idx="148">
                  <c:v>20524.615234375</c:v>
                </c:pt>
                <c:pt idx="149">
                  <c:v>19236.21875</c:v>
                </c:pt>
                <c:pt idx="150">
                  <c:v>20116.494140625</c:v>
                </c:pt>
                <c:pt idx="151">
                  <c:v>19858.384765625</c:v>
                </c:pt>
                <c:pt idx="152">
                  <c:v>20745.884765625</c:v>
                </c:pt>
                <c:pt idx="153">
                  <c:v>19126.16796875</c:v>
                </c:pt>
                <c:pt idx="154">
                  <c:v>21837.044921875</c:v>
                </c:pt>
                <c:pt idx="155">
                  <c:v>20712.68359375</c:v>
                </c:pt>
                <c:pt idx="156">
                  <c:v>28863.3046875</c:v>
                </c:pt>
                <c:pt idx="157">
                  <c:v>31120.0625</c:v>
                </c:pt>
                <c:pt idx="158">
                  <c:v>31864.28515625</c:v>
                </c:pt>
                <c:pt idx="159">
                  <c:v>27574.8984375</c:v>
                </c:pt>
                <c:pt idx="160">
                  <c:v>30649.47265625</c:v>
                </c:pt>
                <c:pt idx="161">
                  <c:v>22790.580078125</c:v>
                </c:pt>
                <c:pt idx="162">
                  <c:v>20454.619140625</c:v>
                </c:pt>
                <c:pt idx="163">
                  <c:v>13814.9755859375</c:v>
                </c:pt>
                <c:pt idx="164">
                  <c:v>7614.45458984375</c:v>
                </c:pt>
                <c:pt idx="165">
                  <c:v>12510.037109375</c:v>
                </c:pt>
                <c:pt idx="166">
                  <c:v>8214.650390625</c:v>
                </c:pt>
                <c:pt idx="167">
                  <c:v>4579.47802734375</c:v>
                </c:pt>
                <c:pt idx="168">
                  <c:v>-1086.35070800781</c:v>
                </c:pt>
                <c:pt idx="169">
                  <c:v>6656.1494140625</c:v>
                </c:pt>
                <c:pt idx="170">
                  <c:v>8696.80859375</c:v>
                </c:pt>
                <c:pt idx="171">
                  <c:v>9055.9443359375</c:v>
                </c:pt>
                <c:pt idx="172">
                  <c:v>-331.473876953125</c:v>
                </c:pt>
                <c:pt idx="173">
                  <c:v>-1486.47937011718</c:v>
                </c:pt>
                <c:pt idx="174">
                  <c:v>-718.23150634765602</c:v>
                </c:pt>
                <c:pt idx="175">
                  <c:v>446.14401245117102</c:v>
                </c:pt>
                <c:pt idx="176">
                  <c:v>1112.35913085937</c:v>
                </c:pt>
                <c:pt idx="177">
                  <c:v>10003.2294921875</c:v>
                </c:pt>
                <c:pt idx="178">
                  <c:v>16599.892578125</c:v>
                </c:pt>
                <c:pt idx="179">
                  <c:v>27712.96875</c:v>
                </c:pt>
                <c:pt idx="180">
                  <c:v>36247.71484375</c:v>
                </c:pt>
                <c:pt idx="181">
                  <c:v>37326.0703125</c:v>
                </c:pt>
                <c:pt idx="182">
                  <c:v>40238.36328125</c:v>
                </c:pt>
                <c:pt idx="183">
                  <c:v>45358.65234375</c:v>
                </c:pt>
                <c:pt idx="184">
                  <c:v>45038.52734375</c:v>
                </c:pt>
                <c:pt idx="185">
                  <c:v>47017.61328125</c:v>
                </c:pt>
                <c:pt idx="186">
                  <c:v>45187.140625</c:v>
                </c:pt>
                <c:pt idx="187">
                  <c:v>44950.55859375</c:v>
                </c:pt>
                <c:pt idx="188">
                  <c:v>42493.72265625</c:v>
                </c:pt>
                <c:pt idx="189">
                  <c:v>44304.3125</c:v>
                </c:pt>
                <c:pt idx="190">
                  <c:v>30727.931640625</c:v>
                </c:pt>
                <c:pt idx="191">
                  <c:v>31226.8984375</c:v>
                </c:pt>
                <c:pt idx="192">
                  <c:v>26024.38671875</c:v>
                </c:pt>
                <c:pt idx="193">
                  <c:v>24539.908203125</c:v>
                </c:pt>
                <c:pt idx="194">
                  <c:v>24223.802734375</c:v>
                </c:pt>
                <c:pt idx="195">
                  <c:v>22049.126953125</c:v>
                </c:pt>
                <c:pt idx="196">
                  <c:v>20392.58203125</c:v>
                </c:pt>
                <c:pt idx="197">
                  <c:v>20430.5625</c:v>
                </c:pt>
                <c:pt idx="198">
                  <c:v>21541.841796875</c:v>
                </c:pt>
                <c:pt idx="199">
                  <c:v>23559.61328125</c:v>
                </c:pt>
                <c:pt idx="200">
                  <c:v>23789.20703125</c:v>
                </c:pt>
                <c:pt idx="201">
                  <c:v>21849.044921875</c:v>
                </c:pt>
                <c:pt idx="202">
                  <c:v>23137.470703125</c:v>
                </c:pt>
                <c:pt idx="203">
                  <c:v>22955.400390625</c:v>
                </c:pt>
                <c:pt idx="204">
                  <c:v>26878.693359375</c:v>
                </c:pt>
                <c:pt idx="205">
                  <c:v>27832.9609375</c:v>
                </c:pt>
                <c:pt idx="206">
                  <c:v>23619.615234375</c:v>
                </c:pt>
                <c:pt idx="207">
                  <c:v>21938.48046875</c:v>
                </c:pt>
                <c:pt idx="208">
                  <c:v>13357.5068359375</c:v>
                </c:pt>
                <c:pt idx="209">
                  <c:v>5648.63525390625</c:v>
                </c:pt>
                <c:pt idx="210">
                  <c:v>-4302.47607421875</c:v>
                </c:pt>
                <c:pt idx="211">
                  <c:v>-17875.9609375</c:v>
                </c:pt>
                <c:pt idx="212">
                  <c:v>-27925.072265625</c:v>
                </c:pt>
                <c:pt idx="213">
                  <c:v>-33968.93359375</c:v>
                </c:pt>
                <c:pt idx="214">
                  <c:v>-26178.4453125</c:v>
                </c:pt>
                <c:pt idx="215">
                  <c:v>-29561.537109375</c:v>
                </c:pt>
                <c:pt idx="216">
                  <c:v>-12982.1953125</c:v>
                </c:pt>
                <c:pt idx="217">
                  <c:v>-23975.744140625</c:v>
                </c:pt>
                <c:pt idx="218">
                  <c:v>-18742.060546875</c:v>
                </c:pt>
                <c:pt idx="219">
                  <c:v>-20994.779296875</c:v>
                </c:pt>
                <c:pt idx="220">
                  <c:v>-8744.8232421875</c:v>
                </c:pt>
                <c:pt idx="221">
                  <c:v>5417.74755859375</c:v>
                </c:pt>
                <c:pt idx="222">
                  <c:v>11353.6669921875</c:v>
                </c:pt>
                <c:pt idx="223">
                  <c:v>7188.3173828125</c:v>
                </c:pt>
                <c:pt idx="224">
                  <c:v>7306.36083984375</c:v>
                </c:pt>
                <c:pt idx="225">
                  <c:v>24347.876953125</c:v>
                </c:pt>
                <c:pt idx="226">
                  <c:v>34781.26171875</c:v>
                </c:pt>
                <c:pt idx="227">
                  <c:v>55691.96875</c:v>
                </c:pt>
                <c:pt idx="228">
                  <c:v>66721.5546875</c:v>
                </c:pt>
                <c:pt idx="229">
                  <c:v>78713.4765625</c:v>
                </c:pt>
                <c:pt idx="230">
                  <c:v>80720.03125</c:v>
                </c:pt>
                <c:pt idx="231">
                  <c:v>82348.578125</c:v>
                </c:pt>
                <c:pt idx="232">
                  <c:v>84261.234375</c:v>
                </c:pt>
                <c:pt idx="233">
                  <c:v>91611.625</c:v>
                </c:pt>
                <c:pt idx="234">
                  <c:v>81794.4453125</c:v>
                </c:pt>
                <c:pt idx="235">
                  <c:v>78067.2890625</c:v>
                </c:pt>
                <c:pt idx="236">
                  <c:v>70878.859375</c:v>
                </c:pt>
                <c:pt idx="237">
                  <c:v>78211.640625</c:v>
                </c:pt>
                <c:pt idx="238">
                  <c:v>69918.390625</c:v>
                </c:pt>
                <c:pt idx="239">
                  <c:v>63778.43359375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56C-496D-8852-15F8A0AD9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6226672"/>
        <c:axId val="453895183"/>
      </c:lineChart>
      <c:catAx>
        <c:axId val="2136226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95183"/>
        <c:crosses val="autoZero"/>
        <c:auto val="1"/>
        <c:lblAlgn val="ctr"/>
        <c:lblOffset val="100"/>
        <c:noMultiLvlLbl val="0"/>
      </c:catAx>
      <c:valAx>
        <c:axId val="45389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Power</a:t>
                </a:r>
                <a:r>
                  <a:rPr lang="en-AU" baseline="0"/>
                  <a:t> (W)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22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5</a:t>
            </a:r>
            <a:r>
              <a:rPr lang="en-AU" baseline="0"/>
              <a:t> Day a</a:t>
            </a:r>
            <a:r>
              <a:rPr lang="en-AU"/>
              <a:t>verage node</a:t>
            </a:r>
            <a:r>
              <a:rPr lang="en-AU" baseline="0"/>
              <a:t> phase power vs time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measured_powers!$AN$252</c:f>
              <c:strCache>
                <c:ptCount val="1"/>
                <c:pt idx="0">
                  <c:v>p_634_A_W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measured_powers!$AM$253:$AM$300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measured_powers!$AN$253:$AN$300</c:f>
              <c:numCache>
                <c:formatCode>General</c:formatCode>
                <c:ptCount val="48"/>
                <c:pt idx="0">
                  <c:v>56350.764062499999</c:v>
                </c:pt>
                <c:pt idx="1">
                  <c:v>51978.892578125</c:v>
                </c:pt>
                <c:pt idx="2">
                  <c:v>51893.55859375</c:v>
                </c:pt>
                <c:pt idx="3">
                  <c:v>46119.96240234375</c:v>
                </c:pt>
                <c:pt idx="4">
                  <c:v>41994.8798828125</c:v>
                </c:pt>
                <c:pt idx="5">
                  <c:v>39863.36572265625</c:v>
                </c:pt>
                <c:pt idx="6">
                  <c:v>37701.10693359375</c:v>
                </c:pt>
                <c:pt idx="7">
                  <c:v>36847.11279296875</c:v>
                </c:pt>
                <c:pt idx="8">
                  <c:v>37365.0048828125</c:v>
                </c:pt>
                <c:pt idx="9">
                  <c:v>36102.1630859375</c:v>
                </c:pt>
                <c:pt idx="10">
                  <c:v>36678.708984375</c:v>
                </c:pt>
                <c:pt idx="11">
                  <c:v>38021.2548828125</c:v>
                </c:pt>
                <c:pt idx="12">
                  <c:v>39205.3740234375</c:v>
                </c:pt>
                <c:pt idx="13">
                  <c:v>37719.12890625</c:v>
                </c:pt>
                <c:pt idx="14">
                  <c:v>38262.08154296875</c:v>
                </c:pt>
                <c:pt idx="15">
                  <c:v>33364.0625</c:v>
                </c:pt>
                <c:pt idx="16">
                  <c:v>26320.0986328125</c:v>
                </c:pt>
                <c:pt idx="17">
                  <c:v>23154.39208984375</c:v>
                </c:pt>
                <c:pt idx="18">
                  <c:v>18533.807861328125</c:v>
                </c:pt>
                <c:pt idx="19">
                  <c:v>14927.019287109375</c:v>
                </c:pt>
                <c:pt idx="20">
                  <c:v>6234.8275527954102</c:v>
                </c:pt>
                <c:pt idx="21">
                  <c:v>6583.821533203125</c:v>
                </c:pt>
                <c:pt idx="22">
                  <c:v>660.10784912109284</c:v>
                </c:pt>
                <c:pt idx="23">
                  <c:v>583.95040893554778</c:v>
                </c:pt>
                <c:pt idx="24">
                  <c:v>1220.5632934570322</c:v>
                </c:pt>
                <c:pt idx="25">
                  <c:v>-414.19989013671784</c:v>
                </c:pt>
                <c:pt idx="26">
                  <c:v>-912.41252136230469</c:v>
                </c:pt>
                <c:pt idx="27">
                  <c:v>-2587.499267578125</c:v>
                </c:pt>
                <c:pt idx="28">
                  <c:v>4646.766357421875</c:v>
                </c:pt>
                <c:pt idx="29">
                  <c:v>9557.319580078125</c:v>
                </c:pt>
                <c:pt idx="30">
                  <c:v>14557.754611968994</c:v>
                </c:pt>
                <c:pt idx="31">
                  <c:v>15588.003601074221</c:v>
                </c:pt>
                <c:pt idx="32">
                  <c:v>21942.895439147946</c:v>
                </c:pt>
                <c:pt idx="33">
                  <c:v>27602.097290039063</c:v>
                </c:pt>
                <c:pt idx="34">
                  <c:v>39949.854736328125</c:v>
                </c:pt>
                <c:pt idx="35">
                  <c:v>52671.69140625</c:v>
                </c:pt>
                <c:pt idx="36">
                  <c:v>64852.6201171875</c:v>
                </c:pt>
                <c:pt idx="37">
                  <c:v>76847.5615234375</c:v>
                </c:pt>
                <c:pt idx="38">
                  <c:v>82850.1689453125</c:v>
                </c:pt>
                <c:pt idx="39">
                  <c:v>92520.265625</c:v>
                </c:pt>
                <c:pt idx="40">
                  <c:v>94743.4482421875</c:v>
                </c:pt>
                <c:pt idx="41">
                  <c:v>97518.9267578125</c:v>
                </c:pt>
                <c:pt idx="42">
                  <c:v>100115.6044921875</c:v>
                </c:pt>
                <c:pt idx="43">
                  <c:v>93306.1982421875</c:v>
                </c:pt>
                <c:pt idx="44">
                  <c:v>86388.1455078125</c:v>
                </c:pt>
                <c:pt idx="45">
                  <c:v>81182.4619140625</c:v>
                </c:pt>
                <c:pt idx="46">
                  <c:v>73814.8193359375</c:v>
                </c:pt>
                <c:pt idx="47">
                  <c:v>61594.2412109375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9D-45C4-80F7-F34C82430D8F}"/>
            </c:ext>
          </c:extLst>
        </c:ser>
        <c:ser>
          <c:idx val="1"/>
          <c:order val="1"/>
          <c:tx>
            <c:strRef>
              <c:f>measured_powers!$AO$252</c:f>
              <c:strCache>
                <c:ptCount val="1"/>
                <c:pt idx="0">
                  <c:v>p_634_B_W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measured_powers!$AM$253:$AM$300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measured_powers!$AO$253:$AO$300</c:f>
              <c:numCache>
                <c:formatCode>General</c:formatCode>
                <c:ptCount val="48"/>
                <c:pt idx="0">
                  <c:v>34716.770703125003</c:v>
                </c:pt>
                <c:pt idx="1">
                  <c:v>27058.828125</c:v>
                </c:pt>
                <c:pt idx="2">
                  <c:v>24114.26611328125</c:v>
                </c:pt>
                <c:pt idx="3">
                  <c:v>20878.58837890625</c:v>
                </c:pt>
                <c:pt idx="4">
                  <c:v>20061.763427734375</c:v>
                </c:pt>
                <c:pt idx="5">
                  <c:v>18355.074951171875</c:v>
                </c:pt>
                <c:pt idx="6">
                  <c:v>19451.273193359375</c:v>
                </c:pt>
                <c:pt idx="7">
                  <c:v>18843.712158203125</c:v>
                </c:pt>
                <c:pt idx="8">
                  <c:v>17514.72607421875</c:v>
                </c:pt>
                <c:pt idx="9">
                  <c:v>17143.746826171875</c:v>
                </c:pt>
                <c:pt idx="10">
                  <c:v>17322.869384765625</c:v>
                </c:pt>
                <c:pt idx="11">
                  <c:v>18650.0546875</c:v>
                </c:pt>
                <c:pt idx="12">
                  <c:v>19070.90625</c:v>
                </c:pt>
                <c:pt idx="13">
                  <c:v>19801.27392578125</c:v>
                </c:pt>
                <c:pt idx="14">
                  <c:v>20098.94091796875</c:v>
                </c:pt>
                <c:pt idx="15">
                  <c:v>18363.176513671875</c:v>
                </c:pt>
                <c:pt idx="16">
                  <c:v>16700.57763671875</c:v>
                </c:pt>
                <c:pt idx="17">
                  <c:v>13002.890625</c:v>
                </c:pt>
                <c:pt idx="18">
                  <c:v>9639.3876342773419</c:v>
                </c:pt>
                <c:pt idx="19">
                  <c:v>5522.7498779296875</c:v>
                </c:pt>
                <c:pt idx="20">
                  <c:v>2229.8340454101581</c:v>
                </c:pt>
                <c:pt idx="21">
                  <c:v>2675.5387268066406</c:v>
                </c:pt>
                <c:pt idx="22">
                  <c:v>2781.8529052734375</c:v>
                </c:pt>
                <c:pt idx="23">
                  <c:v>2457.1822509765625</c:v>
                </c:pt>
                <c:pt idx="24">
                  <c:v>1759.2103271484375</c:v>
                </c:pt>
                <c:pt idx="25">
                  <c:v>4560.941650390625</c:v>
                </c:pt>
                <c:pt idx="26">
                  <c:v>10409.557250976563</c:v>
                </c:pt>
                <c:pt idx="27">
                  <c:v>12426.851440429688</c:v>
                </c:pt>
                <c:pt idx="28">
                  <c:v>15375.129142761232</c:v>
                </c:pt>
                <c:pt idx="29">
                  <c:v>15842.884979248047</c:v>
                </c:pt>
                <c:pt idx="30">
                  <c:v>20710.098510742188</c:v>
                </c:pt>
                <c:pt idx="31">
                  <c:v>25496.473602294918</c:v>
                </c:pt>
                <c:pt idx="32">
                  <c:v>30033.611083984375</c:v>
                </c:pt>
                <c:pt idx="33">
                  <c:v>31724.866455078125</c:v>
                </c:pt>
                <c:pt idx="34">
                  <c:v>35962.8974609375</c:v>
                </c:pt>
                <c:pt idx="35">
                  <c:v>46766.60693359375</c:v>
                </c:pt>
                <c:pt idx="36">
                  <c:v>50252.9404296875</c:v>
                </c:pt>
                <c:pt idx="37">
                  <c:v>56385.10595703125</c:v>
                </c:pt>
                <c:pt idx="38">
                  <c:v>58957.85302734375</c:v>
                </c:pt>
                <c:pt idx="39">
                  <c:v>61614.60791015625</c:v>
                </c:pt>
                <c:pt idx="40">
                  <c:v>63537.974609375</c:v>
                </c:pt>
                <c:pt idx="41">
                  <c:v>62347.7001953125</c:v>
                </c:pt>
                <c:pt idx="42">
                  <c:v>59583.5869140625</c:v>
                </c:pt>
                <c:pt idx="43">
                  <c:v>58750.30615234375</c:v>
                </c:pt>
                <c:pt idx="44">
                  <c:v>52666.29931640625</c:v>
                </c:pt>
                <c:pt idx="45">
                  <c:v>47627.91357421875</c:v>
                </c:pt>
                <c:pt idx="46">
                  <c:v>42974.43359375</c:v>
                </c:pt>
                <c:pt idx="47">
                  <c:v>42158.75244140625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9D-45C4-80F7-F34C82430D8F}"/>
            </c:ext>
          </c:extLst>
        </c:ser>
        <c:ser>
          <c:idx val="2"/>
          <c:order val="2"/>
          <c:tx>
            <c:strRef>
              <c:f>measured_powers!$AP$252</c:f>
              <c:strCache>
                <c:ptCount val="1"/>
                <c:pt idx="0">
                  <c:v>p_634_C_W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measured_powers!$AM$253:$AM$300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measured_powers!$AP$253:$AP$300</c:f>
              <c:numCache>
                <c:formatCode>General</c:formatCode>
                <c:ptCount val="48"/>
                <c:pt idx="0">
                  <c:v>34650.119531249999</c:v>
                </c:pt>
                <c:pt idx="1">
                  <c:v>29589.2841796875</c:v>
                </c:pt>
                <c:pt idx="2">
                  <c:v>27736.1328125</c:v>
                </c:pt>
                <c:pt idx="3">
                  <c:v>25070.7275390625</c:v>
                </c:pt>
                <c:pt idx="4">
                  <c:v>23472.875</c:v>
                </c:pt>
                <c:pt idx="5">
                  <c:v>24803.45166015625</c:v>
                </c:pt>
                <c:pt idx="6">
                  <c:v>24820.8583984375</c:v>
                </c:pt>
                <c:pt idx="7">
                  <c:v>25171.06884765625</c:v>
                </c:pt>
                <c:pt idx="8">
                  <c:v>24720.5927734375</c:v>
                </c:pt>
                <c:pt idx="9">
                  <c:v>23384.54052734375</c:v>
                </c:pt>
                <c:pt idx="10">
                  <c:v>20920.73095703125</c:v>
                </c:pt>
                <c:pt idx="11">
                  <c:v>20593.04931640625</c:v>
                </c:pt>
                <c:pt idx="12">
                  <c:v>20388.89794921875</c:v>
                </c:pt>
                <c:pt idx="13">
                  <c:v>20438.16455078125</c:v>
                </c:pt>
                <c:pt idx="14">
                  <c:v>21959.81884765625</c:v>
                </c:pt>
                <c:pt idx="15">
                  <c:v>19938.17138671875</c:v>
                </c:pt>
                <c:pt idx="16">
                  <c:v>16439.884765625</c:v>
                </c:pt>
                <c:pt idx="17">
                  <c:v>11760.699340820313</c:v>
                </c:pt>
                <c:pt idx="18">
                  <c:v>7117.4557952880859</c:v>
                </c:pt>
                <c:pt idx="19">
                  <c:v>2664.1579895019527</c:v>
                </c:pt>
                <c:pt idx="20">
                  <c:v>-1439.3838653564439</c:v>
                </c:pt>
                <c:pt idx="21">
                  <c:v>-4404.9715042114258</c:v>
                </c:pt>
                <c:pt idx="22">
                  <c:v>-5312.966796875</c:v>
                </c:pt>
                <c:pt idx="23">
                  <c:v>-9825.5404052734375</c:v>
                </c:pt>
                <c:pt idx="24">
                  <c:v>-11876.913330078125</c:v>
                </c:pt>
                <c:pt idx="25">
                  <c:v>-10429.917114257813</c:v>
                </c:pt>
                <c:pt idx="26">
                  <c:v>-14061.790863037109</c:v>
                </c:pt>
                <c:pt idx="27">
                  <c:v>-12634.419982910156</c:v>
                </c:pt>
                <c:pt idx="28">
                  <c:v>-8207.3962707519549</c:v>
                </c:pt>
                <c:pt idx="29">
                  <c:v>-2673.780029296875</c:v>
                </c:pt>
                <c:pt idx="30">
                  <c:v>1176.22412109375</c:v>
                </c:pt>
                <c:pt idx="31">
                  <c:v>5364.5401306152326</c:v>
                </c:pt>
                <c:pt idx="32">
                  <c:v>10591.233520507813</c:v>
                </c:pt>
                <c:pt idx="33">
                  <c:v>14348.196411132813</c:v>
                </c:pt>
                <c:pt idx="34">
                  <c:v>26035.777954101563</c:v>
                </c:pt>
                <c:pt idx="35">
                  <c:v>37974.767578125</c:v>
                </c:pt>
                <c:pt idx="36">
                  <c:v>50873.720703125</c:v>
                </c:pt>
                <c:pt idx="37">
                  <c:v>59076.39892578125</c:v>
                </c:pt>
                <c:pt idx="38">
                  <c:v>59878.61376953125</c:v>
                </c:pt>
                <c:pt idx="39">
                  <c:v>63960.8798828125</c:v>
                </c:pt>
                <c:pt idx="40">
                  <c:v>63520.4736328125</c:v>
                </c:pt>
                <c:pt idx="41">
                  <c:v>61701.533203125</c:v>
                </c:pt>
                <c:pt idx="42">
                  <c:v>60668.5087890625</c:v>
                </c:pt>
                <c:pt idx="43">
                  <c:v>56827.33642578125</c:v>
                </c:pt>
                <c:pt idx="44">
                  <c:v>51055.58251953125</c:v>
                </c:pt>
                <c:pt idx="45">
                  <c:v>46857.55712890625</c:v>
                </c:pt>
                <c:pt idx="46">
                  <c:v>42475.021484375</c:v>
                </c:pt>
                <c:pt idx="47">
                  <c:v>40151.576171875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9D-45C4-80F7-F34C82430D8F}"/>
            </c:ext>
          </c:extLst>
        </c:ser>
        <c:ser>
          <c:idx val="3"/>
          <c:order val="3"/>
          <c:tx>
            <c:strRef>
              <c:f>measured_powers!$AQ$252</c:f>
              <c:strCache>
                <c:ptCount val="1"/>
                <c:pt idx="0">
                  <c:v>p_645_B_W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measured_powers!$AM$253:$AM$300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measured_powers!$AQ$253:$AQ$300</c:f>
              <c:numCache>
                <c:formatCode>General</c:formatCode>
                <c:ptCount val="48"/>
                <c:pt idx="0">
                  <c:v>59129.544531250001</c:v>
                </c:pt>
                <c:pt idx="1">
                  <c:v>53879.8310546875</c:v>
                </c:pt>
                <c:pt idx="2">
                  <c:v>49417.3232421875</c:v>
                </c:pt>
                <c:pt idx="3">
                  <c:v>42278.4130859375</c:v>
                </c:pt>
                <c:pt idx="4">
                  <c:v>38663.44189453125</c:v>
                </c:pt>
                <c:pt idx="5">
                  <c:v>38211.423828125</c:v>
                </c:pt>
                <c:pt idx="6">
                  <c:v>36235.77001953125</c:v>
                </c:pt>
                <c:pt idx="7">
                  <c:v>35997.9423828125</c:v>
                </c:pt>
                <c:pt idx="8">
                  <c:v>37219.54931640625</c:v>
                </c:pt>
                <c:pt idx="9">
                  <c:v>36788.291015625</c:v>
                </c:pt>
                <c:pt idx="10">
                  <c:v>36706.1572265625</c:v>
                </c:pt>
                <c:pt idx="11">
                  <c:v>36200.4521484375</c:v>
                </c:pt>
                <c:pt idx="12">
                  <c:v>35555.5302734375</c:v>
                </c:pt>
                <c:pt idx="13">
                  <c:v>32904.83837890625</c:v>
                </c:pt>
                <c:pt idx="14">
                  <c:v>31259.78369140625</c:v>
                </c:pt>
                <c:pt idx="15">
                  <c:v>28355.17236328125</c:v>
                </c:pt>
                <c:pt idx="16">
                  <c:v>21041.1435546875</c:v>
                </c:pt>
                <c:pt idx="17">
                  <c:v>16181.555908203125</c:v>
                </c:pt>
                <c:pt idx="18">
                  <c:v>9239.8272094726563</c:v>
                </c:pt>
                <c:pt idx="19">
                  <c:v>5540.0035400390625</c:v>
                </c:pt>
                <c:pt idx="20">
                  <c:v>520.1353759765625</c:v>
                </c:pt>
                <c:pt idx="21">
                  <c:v>-2507.8189086914053</c:v>
                </c:pt>
                <c:pt idx="22">
                  <c:v>-3808.8302612304701</c:v>
                </c:pt>
                <c:pt idx="23">
                  <c:v>-3862.0918579101553</c:v>
                </c:pt>
                <c:pt idx="24">
                  <c:v>-3614.6699829101581</c:v>
                </c:pt>
                <c:pt idx="25">
                  <c:v>-2141.6520385742174</c:v>
                </c:pt>
                <c:pt idx="26">
                  <c:v>356.1180419921875</c:v>
                </c:pt>
                <c:pt idx="27">
                  <c:v>-2001.7583923339844</c:v>
                </c:pt>
                <c:pt idx="28">
                  <c:v>210.220703125</c:v>
                </c:pt>
                <c:pt idx="29">
                  <c:v>9765.1233062744141</c:v>
                </c:pt>
                <c:pt idx="30">
                  <c:v>14452.585937500004</c:v>
                </c:pt>
                <c:pt idx="31">
                  <c:v>19735.148941040039</c:v>
                </c:pt>
                <c:pt idx="32">
                  <c:v>22070.736274719238</c:v>
                </c:pt>
                <c:pt idx="33">
                  <c:v>26841.5859375</c:v>
                </c:pt>
                <c:pt idx="34">
                  <c:v>41520.25634765625</c:v>
                </c:pt>
                <c:pt idx="35">
                  <c:v>57321.48779296875</c:v>
                </c:pt>
                <c:pt idx="36">
                  <c:v>72561.4404296875</c:v>
                </c:pt>
                <c:pt idx="37">
                  <c:v>84201.3408203125</c:v>
                </c:pt>
                <c:pt idx="38">
                  <c:v>87782.0400390625</c:v>
                </c:pt>
                <c:pt idx="39">
                  <c:v>90519.0419921875</c:v>
                </c:pt>
                <c:pt idx="40">
                  <c:v>89779.2294921875</c:v>
                </c:pt>
                <c:pt idx="41">
                  <c:v>88880.103515625</c:v>
                </c:pt>
                <c:pt idx="42">
                  <c:v>88767.9111328125</c:v>
                </c:pt>
                <c:pt idx="43">
                  <c:v>82459.0556640625</c:v>
                </c:pt>
                <c:pt idx="44">
                  <c:v>79342.2109375</c:v>
                </c:pt>
                <c:pt idx="45">
                  <c:v>74391.64453125</c:v>
                </c:pt>
                <c:pt idx="46">
                  <c:v>75160.87109375</c:v>
                </c:pt>
                <c:pt idx="47">
                  <c:v>68927.1171875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9D-45C4-80F7-F34C82430D8F}"/>
            </c:ext>
          </c:extLst>
        </c:ser>
        <c:ser>
          <c:idx val="4"/>
          <c:order val="4"/>
          <c:tx>
            <c:strRef>
              <c:f>measured_powers!$AR$252</c:f>
              <c:strCache>
                <c:ptCount val="1"/>
                <c:pt idx="0">
                  <c:v>p_646_B_W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measured_powers!$AM$253:$AM$300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measured_powers!$AR$253:$AR$300</c:f>
              <c:numCache>
                <c:formatCode>General</c:formatCode>
                <c:ptCount val="48"/>
                <c:pt idx="0">
                  <c:v>74435.94921875</c:v>
                </c:pt>
                <c:pt idx="1">
                  <c:v>60307.498046875</c:v>
                </c:pt>
                <c:pt idx="2">
                  <c:v>57745.158203125</c:v>
                </c:pt>
                <c:pt idx="3">
                  <c:v>52503.1181640625</c:v>
                </c:pt>
                <c:pt idx="4">
                  <c:v>48833.701171875</c:v>
                </c:pt>
                <c:pt idx="5">
                  <c:v>46290.0224609375</c:v>
                </c:pt>
                <c:pt idx="6">
                  <c:v>47113.0615234375</c:v>
                </c:pt>
                <c:pt idx="7">
                  <c:v>46645.5419921875</c:v>
                </c:pt>
                <c:pt idx="8">
                  <c:v>45431.5029296875</c:v>
                </c:pt>
                <c:pt idx="9">
                  <c:v>42000.9541015625</c:v>
                </c:pt>
                <c:pt idx="10">
                  <c:v>40496.45947265625</c:v>
                </c:pt>
                <c:pt idx="11">
                  <c:v>44063.18359375</c:v>
                </c:pt>
                <c:pt idx="12">
                  <c:v>46347.3330078125</c:v>
                </c:pt>
                <c:pt idx="13">
                  <c:v>47824.5595703125</c:v>
                </c:pt>
                <c:pt idx="14">
                  <c:v>49678.6298828125</c:v>
                </c:pt>
                <c:pt idx="15">
                  <c:v>43086.87890625</c:v>
                </c:pt>
                <c:pt idx="16">
                  <c:v>33629.96142578125</c:v>
                </c:pt>
                <c:pt idx="17">
                  <c:v>26389.421142578125</c:v>
                </c:pt>
                <c:pt idx="18">
                  <c:v>22426.137939453125</c:v>
                </c:pt>
                <c:pt idx="19">
                  <c:v>15261.847106933594</c:v>
                </c:pt>
                <c:pt idx="20">
                  <c:v>3828.8074340820294</c:v>
                </c:pt>
                <c:pt idx="21">
                  <c:v>3318.0985412597656</c:v>
                </c:pt>
                <c:pt idx="22">
                  <c:v>-1337.743408203125</c:v>
                </c:pt>
                <c:pt idx="23">
                  <c:v>-2604.0404052734375</c:v>
                </c:pt>
                <c:pt idx="24">
                  <c:v>-4796.42724609375</c:v>
                </c:pt>
                <c:pt idx="25">
                  <c:v>-3886.8681030273447</c:v>
                </c:pt>
                <c:pt idx="26">
                  <c:v>-573.5347900390625</c:v>
                </c:pt>
                <c:pt idx="27">
                  <c:v>771.31005859375</c:v>
                </c:pt>
                <c:pt idx="28">
                  <c:v>10961.112548828125</c:v>
                </c:pt>
                <c:pt idx="29">
                  <c:v>12597.059326171875</c:v>
                </c:pt>
                <c:pt idx="30">
                  <c:v>19761.427124023438</c:v>
                </c:pt>
                <c:pt idx="31">
                  <c:v>28997.6884765625</c:v>
                </c:pt>
                <c:pt idx="32">
                  <c:v>38100.930847167969</c:v>
                </c:pt>
                <c:pt idx="33">
                  <c:v>45476.30908203125</c:v>
                </c:pt>
                <c:pt idx="34">
                  <c:v>57306.95166015625</c:v>
                </c:pt>
                <c:pt idx="35">
                  <c:v>76899.58935546875</c:v>
                </c:pt>
                <c:pt idx="36">
                  <c:v>93652.736328125</c:v>
                </c:pt>
                <c:pt idx="37">
                  <c:v>109574.978515625</c:v>
                </c:pt>
                <c:pt idx="38">
                  <c:v>117758.3515625</c:v>
                </c:pt>
                <c:pt idx="39">
                  <c:v>126466.94140625</c:v>
                </c:pt>
                <c:pt idx="40">
                  <c:v>131535.302734375</c:v>
                </c:pt>
                <c:pt idx="41">
                  <c:v>133319.013671875</c:v>
                </c:pt>
                <c:pt idx="42">
                  <c:v>133399.30859375</c:v>
                </c:pt>
                <c:pt idx="43">
                  <c:v>129296.34375</c:v>
                </c:pt>
                <c:pt idx="44">
                  <c:v>117451.0234375</c:v>
                </c:pt>
                <c:pt idx="45">
                  <c:v>111406.734375</c:v>
                </c:pt>
                <c:pt idx="46">
                  <c:v>99909.9306640625</c:v>
                </c:pt>
                <c:pt idx="47">
                  <c:v>90163.3466796875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9D-45C4-80F7-F34C82430D8F}"/>
            </c:ext>
          </c:extLst>
        </c:ser>
        <c:ser>
          <c:idx val="5"/>
          <c:order val="5"/>
          <c:tx>
            <c:strRef>
              <c:f>measured_powers!$AS$252</c:f>
              <c:strCache>
                <c:ptCount val="1"/>
                <c:pt idx="0">
                  <c:v>p_652_A_W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measured_powers!$AM$253:$AM$300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measured_powers!$AS$253:$AS$300</c:f>
              <c:numCache>
                <c:formatCode>General</c:formatCode>
                <c:ptCount val="48"/>
                <c:pt idx="0">
                  <c:v>32961.614062499997</c:v>
                </c:pt>
                <c:pt idx="1">
                  <c:v>33156.951171875</c:v>
                </c:pt>
                <c:pt idx="2">
                  <c:v>34008.7001953125</c:v>
                </c:pt>
                <c:pt idx="3">
                  <c:v>28812.1650390625</c:v>
                </c:pt>
                <c:pt idx="4">
                  <c:v>27907.5869140625</c:v>
                </c:pt>
                <c:pt idx="5">
                  <c:v>32084.22705078125</c:v>
                </c:pt>
                <c:pt idx="6">
                  <c:v>31009.0751953125</c:v>
                </c:pt>
                <c:pt idx="7">
                  <c:v>29530.78369140625</c:v>
                </c:pt>
                <c:pt idx="8">
                  <c:v>23872.16015625</c:v>
                </c:pt>
                <c:pt idx="9">
                  <c:v>23050.002685546875</c:v>
                </c:pt>
                <c:pt idx="10">
                  <c:v>21588.7431640625</c:v>
                </c:pt>
                <c:pt idx="11">
                  <c:v>21496.694091796875</c:v>
                </c:pt>
                <c:pt idx="12">
                  <c:v>19862.828125</c:v>
                </c:pt>
                <c:pt idx="13">
                  <c:v>19690.92138671875</c:v>
                </c:pt>
                <c:pt idx="14">
                  <c:v>20685.12158203125</c:v>
                </c:pt>
                <c:pt idx="15">
                  <c:v>20745.03857421875</c:v>
                </c:pt>
                <c:pt idx="16">
                  <c:v>20066.96240234375</c:v>
                </c:pt>
                <c:pt idx="17">
                  <c:v>15704.98974609375</c:v>
                </c:pt>
                <c:pt idx="18">
                  <c:v>12991.555541992188</c:v>
                </c:pt>
                <c:pt idx="19">
                  <c:v>7667.5124816894549</c:v>
                </c:pt>
                <c:pt idx="20">
                  <c:v>1570.3077850341797</c:v>
                </c:pt>
                <c:pt idx="21">
                  <c:v>-2376.9696779251099</c:v>
                </c:pt>
                <c:pt idx="22">
                  <c:v>-3578.2093505859348</c:v>
                </c:pt>
                <c:pt idx="23">
                  <c:v>-5036.0033569335928</c:v>
                </c:pt>
                <c:pt idx="24">
                  <c:v>-3946.2825317382799</c:v>
                </c:pt>
                <c:pt idx="25">
                  <c:v>-2433.4832153320326</c:v>
                </c:pt>
                <c:pt idx="26">
                  <c:v>-6443.77978515625</c:v>
                </c:pt>
                <c:pt idx="27">
                  <c:v>-4642.9285888671875</c:v>
                </c:pt>
                <c:pt idx="28">
                  <c:v>946.69964599609284</c:v>
                </c:pt>
                <c:pt idx="29">
                  <c:v>6626.7996826171875</c:v>
                </c:pt>
                <c:pt idx="30">
                  <c:v>8981.0333251953125</c:v>
                </c:pt>
                <c:pt idx="31">
                  <c:v>15884.649458408356</c:v>
                </c:pt>
                <c:pt idx="32">
                  <c:v>21682.255187988281</c:v>
                </c:pt>
                <c:pt idx="33">
                  <c:v>26947.15087890625</c:v>
                </c:pt>
                <c:pt idx="34">
                  <c:v>35640.409423828125</c:v>
                </c:pt>
                <c:pt idx="35">
                  <c:v>42743.874267578125</c:v>
                </c:pt>
                <c:pt idx="36">
                  <c:v>52349.46240234375</c:v>
                </c:pt>
                <c:pt idx="37">
                  <c:v>58496.27734375</c:v>
                </c:pt>
                <c:pt idx="38">
                  <c:v>63497.94970703125</c:v>
                </c:pt>
                <c:pt idx="39">
                  <c:v>65826.13720703125</c:v>
                </c:pt>
                <c:pt idx="40">
                  <c:v>62308.8955078125</c:v>
                </c:pt>
                <c:pt idx="41">
                  <c:v>61867.484375</c:v>
                </c:pt>
                <c:pt idx="42">
                  <c:v>61337.2822265625</c:v>
                </c:pt>
                <c:pt idx="43">
                  <c:v>57553.21826171875</c:v>
                </c:pt>
                <c:pt idx="44">
                  <c:v>57284.6455078125</c:v>
                </c:pt>
                <c:pt idx="45">
                  <c:v>50989.54443359375</c:v>
                </c:pt>
                <c:pt idx="46">
                  <c:v>45228.00732421875</c:v>
                </c:pt>
                <c:pt idx="47">
                  <c:v>39433.75048828125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F9D-45C4-80F7-F34C82430D8F}"/>
            </c:ext>
          </c:extLst>
        </c:ser>
        <c:ser>
          <c:idx val="6"/>
          <c:order val="6"/>
          <c:tx>
            <c:strRef>
              <c:f>measured_powers!$AT$252</c:f>
              <c:strCache>
                <c:ptCount val="1"/>
                <c:pt idx="0">
                  <c:v>p_671_A_W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measured_powers!$AM$253:$AM$300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measured_powers!$AT$253:$AT$300</c:f>
              <c:numCache>
                <c:formatCode>General</c:formatCode>
                <c:ptCount val="48"/>
                <c:pt idx="0">
                  <c:v>125172.06875000001</c:v>
                </c:pt>
                <c:pt idx="1">
                  <c:v>106715.6796875</c:v>
                </c:pt>
                <c:pt idx="2">
                  <c:v>102468.458984375</c:v>
                </c:pt>
                <c:pt idx="3">
                  <c:v>91209.23828125</c:v>
                </c:pt>
                <c:pt idx="4">
                  <c:v>84605.9462890625</c:v>
                </c:pt>
                <c:pt idx="5">
                  <c:v>82478.8544921875</c:v>
                </c:pt>
                <c:pt idx="6">
                  <c:v>80476.615234375</c:v>
                </c:pt>
                <c:pt idx="7">
                  <c:v>79543.5576171875</c:v>
                </c:pt>
                <c:pt idx="8">
                  <c:v>78953.01953125</c:v>
                </c:pt>
                <c:pt idx="9">
                  <c:v>76202.5048828125</c:v>
                </c:pt>
                <c:pt idx="10">
                  <c:v>74908.638671875</c:v>
                </c:pt>
                <c:pt idx="11">
                  <c:v>76955.39453125</c:v>
                </c:pt>
                <c:pt idx="12">
                  <c:v>77775.9267578125</c:v>
                </c:pt>
                <c:pt idx="13">
                  <c:v>77956.740234375</c:v>
                </c:pt>
                <c:pt idx="14">
                  <c:v>78956.166015625</c:v>
                </c:pt>
                <c:pt idx="15">
                  <c:v>69810.6259765625</c:v>
                </c:pt>
                <c:pt idx="16">
                  <c:v>56789.1650390625</c:v>
                </c:pt>
                <c:pt idx="17">
                  <c:v>47133.5107421875</c:v>
                </c:pt>
                <c:pt idx="18">
                  <c:v>35643.904052734375</c:v>
                </c:pt>
                <c:pt idx="19">
                  <c:v>24649.243957519531</c:v>
                </c:pt>
                <c:pt idx="20">
                  <c:v>10385.01806640625</c:v>
                </c:pt>
                <c:pt idx="21">
                  <c:v>8400.972900390625</c:v>
                </c:pt>
                <c:pt idx="22">
                  <c:v>879.7213134765625</c:v>
                </c:pt>
                <c:pt idx="23">
                  <c:v>-2648.6171875</c:v>
                </c:pt>
                <c:pt idx="24">
                  <c:v>-5471.2470703125</c:v>
                </c:pt>
                <c:pt idx="25">
                  <c:v>-4526.0474853515625</c:v>
                </c:pt>
                <c:pt idx="26">
                  <c:v>819.70556640625</c:v>
                </c:pt>
                <c:pt idx="27">
                  <c:v>1717.86767578125</c:v>
                </c:pt>
                <c:pt idx="28">
                  <c:v>15402.05224609375</c:v>
                </c:pt>
                <c:pt idx="29">
                  <c:v>25991.106689453125</c:v>
                </c:pt>
                <c:pt idx="30">
                  <c:v>39774.447235107422</c:v>
                </c:pt>
                <c:pt idx="31">
                  <c:v>48922.982299804688</c:v>
                </c:pt>
                <c:pt idx="32">
                  <c:v>63570.3955078125</c:v>
                </c:pt>
                <c:pt idx="33">
                  <c:v>73258.42333984375</c:v>
                </c:pt>
                <c:pt idx="34">
                  <c:v>97603.056640625</c:v>
                </c:pt>
                <c:pt idx="35">
                  <c:v>131150.7998046875</c:v>
                </c:pt>
                <c:pt idx="36">
                  <c:v>157113.0546875</c:v>
                </c:pt>
                <c:pt idx="37">
                  <c:v>185500.654296875</c:v>
                </c:pt>
                <c:pt idx="38">
                  <c:v>195421.921875</c:v>
                </c:pt>
                <c:pt idx="39">
                  <c:v>211036.634765625</c:v>
                </c:pt>
                <c:pt idx="40">
                  <c:v>217606.484375</c:v>
                </c:pt>
                <c:pt idx="41">
                  <c:v>219487.791015625</c:v>
                </c:pt>
                <c:pt idx="42">
                  <c:v>216782.98046875</c:v>
                </c:pt>
                <c:pt idx="43">
                  <c:v>206751.59765625</c:v>
                </c:pt>
                <c:pt idx="44">
                  <c:v>190923.076171875</c:v>
                </c:pt>
                <c:pt idx="45">
                  <c:v>174772.12890625</c:v>
                </c:pt>
                <c:pt idx="46">
                  <c:v>159086.599609375</c:v>
                </c:pt>
                <c:pt idx="47">
                  <c:v>143910.78125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9D-45C4-80F7-F34C82430D8F}"/>
            </c:ext>
          </c:extLst>
        </c:ser>
        <c:ser>
          <c:idx val="7"/>
          <c:order val="7"/>
          <c:tx>
            <c:strRef>
              <c:f>measured_powers!$AU$252</c:f>
              <c:strCache>
                <c:ptCount val="1"/>
                <c:pt idx="0">
                  <c:v>p_671_B_W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measured_powers!$AM$253:$AM$300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measured_powers!$AU$253:$AU$300</c:f>
              <c:numCache>
                <c:formatCode>General</c:formatCode>
                <c:ptCount val="48"/>
                <c:pt idx="0">
                  <c:v>115417.965625</c:v>
                </c:pt>
                <c:pt idx="1">
                  <c:v>100570.3828125</c:v>
                </c:pt>
                <c:pt idx="2">
                  <c:v>95996.779296875</c:v>
                </c:pt>
                <c:pt idx="3">
                  <c:v>88867.2041015625</c:v>
                </c:pt>
                <c:pt idx="4">
                  <c:v>84359.185546875</c:v>
                </c:pt>
                <c:pt idx="5">
                  <c:v>89146.0859375</c:v>
                </c:pt>
                <c:pt idx="6">
                  <c:v>84547.6787109375</c:v>
                </c:pt>
                <c:pt idx="7">
                  <c:v>83351.7138671875</c:v>
                </c:pt>
                <c:pt idx="8">
                  <c:v>75423.0947265625</c:v>
                </c:pt>
                <c:pt idx="9">
                  <c:v>76771.0947265625</c:v>
                </c:pt>
                <c:pt idx="10">
                  <c:v>73368.689453125</c:v>
                </c:pt>
                <c:pt idx="11">
                  <c:v>71600.048828125</c:v>
                </c:pt>
                <c:pt idx="12">
                  <c:v>67809.201171875</c:v>
                </c:pt>
                <c:pt idx="13">
                  <c:v>68504.099609375</c:v>
                </c:pt>
                <c:pt idx="14">
                  <c:v>70262.4365234375</c:v>
                </c:pt>
                <c:pt idx="15">
                  <c:v>66923.9462890625</c:v>
                </c:pt>
                <c:pt idx="16">
                  <c:v>54228.8544921875</c:v>
                </c:pt>
                <c:pt idx="17">
                  <c:v>39367.0537109375</c:v>
                </c:pt>
                <c:pt idx="18">
                  <c:v>25028.632110595703</c:v>
                </c:pt>
                <c:pt idx="19">
                  <c:v>8573.5603179931641</c:v>
                </c:pt>
                <c:pt idx="20">
                  <c:v>-7016.5433959960919</c:v>
                </c:pt>
                <c:pt idx="21">
                  <c:v>-19297.457885742188</c:v>
                </c:pt>
                <c:pt idx="22">
                  <c:v>-22036.43798828125</c:v>
                </c:pt>
                <c:pt idx="23">
                  <c:v>-20099.381568908691</c:v>
                </c:pt>
                <c:pt idx="24">
                  <c:v>-21333.617248535156</c:v>
                </c:pt>
                <c:pt idx="25">
                  <c:v>-15083.885620117188</c:v>
                </c:pt>
                <c:pt idx="26">
                  <c:v>-23895.540161132813</c:v>
                </c:pt>
                <c:pt idx="27">
                  <c:v>-23408.038818359375</c:v>
                </c:pt>
                <c:pt idx="28">
                  <c:v>-11481.105224609375</c:v>
                </c:pt>
                <c:pt idx="29">
                  <c:v>4704.3140563964844</c:v>
                </c:pt>
                <c:pt idx="30">
                  <c:v>15003.331970214844</c:v>
                </c:pt>
                <c:pt idx="31">
                  <c:v>32061.417242050171</c:v>
                </c:pt>
                <c:pt idx="32">
                  <c:v>43799.274780273438</c:v>
                </c:pt>
                <c:pt idx="33">
                  <c:v>55823.859619140625</c:v>
                </c:pt>
                <c:pt idx="34">
                  <c:v>89058.2919921875</c:v>
                </c:pt>
                <c:pt idx="35">
                  <c:v>115948.8525390625</c:v>
                </c:pt>
                <c:pt idx="36">
                  <c:v>155780.04296875</c:v>
                </c:pt>
                <c:pt idx="37">
                  <c:v>183675.416015625</c:v>
                </c:pt>
                <c:pt idx="38">
                  <c:v>196007.560546875</c:v>
                </c:pt>
                <c:pt idx="39">
                  <c:v>199477.67578125</c:v>
                </c:pt>
                <c:pt idx="40">
                  <c:v>198400.658203125</c:v>
                </c:pt>
                <c:pt idx="41">
                  <c:v>201639.986328125</c:v>
                </c:pt>
                <c:pt idx="42">
                  <c:v>202205.193359375</c:v>
                </c:pt>
                <c:pt idx="43">
                  <c:v>189319.13671875</c:v>
                </c:pt>
                <c:pt idx="44">
                  <c:v>182224.033203125</c:v>
                </c:pt>
                <c:pt idx="45">
                  <c:v>164299.76953125</c:v>
                </c:pt>
                <c:pt idx="46">
                  <c:v>157038.994140625</c:v>
                </c:pt>
                <c:pt idx="47">
                  <c:v>136861.291015625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F9D-45C4-80F7-F34C82430D8F}"/>
            </c:ext>
          </c:extLst>
        </c:ser>
        <c:ser>
          <c:idx val="8"/>
          <c:order val="8"/>
          <c:tx>
            <c:strRef>
              <c:f>measured_powers!$AV$252</c:f>
              <c:strCache>
                <c:ptCount val="1"/>
                <c:pt idx="0">
                  <c:v>p_671_C_W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measured_powers!$AM$253:$AM$300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measured_powers!$AV$253:$AV$300</c:f>
              <c:numCache>
                <c:formatCode>General</c:formatCode>
                <c:ptCount val="48"/>
                <c:pt idx="0">
                  <c:v>129410.078125</c:v>
                </c:pt>
                <c:pt idx="1">
                  <c:v>111186.201171875</c:v>
                </c:pt>
                <c:pt idx="2">
                  <c:v>104815.70703125</c:v>
                </c:pt>
                <c:pt idx="3">
                  <c:v>92645.361328125</c:v>
                </c:pt>
                <c:pt idx="4">
                  <c:v>85542.1904296875</c:v>
                </c:pt>
                <c:pt idx="5">
                  <c:v>82909.078125</c:v>
                </c:pt>
                <c:pt idx="6">
                  <c:v>81588.443359375</c:v>
                </c:pt>
                <c:pt idx="7">
                  <c:v>80502.6064453125</c:v>
                </c:pt>
                <c:pt idx="8">
                  <c:v>80517.7119140625</c:v>
                </c:pt>
                <c:pt idx="9">
                  <c:v>76706.55078125</c:v>
                </c:pt>
                <c:pt idx="10">
                  <c:v>75523.9365234375</c:v>
                </c:pt>
                <c:pt idx="11">
                  <c:v>78872.9814453125</c:v>
                </c:pt>
                <c:pt idx="12">
                  <c:v>80462.126953125</c:v>
                </c:pt>
                <c:pt idx="13">
                  <c:v>79553.82421875</c:v>
                </c:pt>
                <c:pt idx="14">
                  <c:v>80155.1875</c:v>
                </c:pt>
                <c:pt idx="15">
                  <c:v>70017.2763671875</c:v>
                </c:pt>
                <c:pt idx="16">
                  <c:v>55689.74609375</c:v>
                </c:pt>
                <c:pt idx="17">
                  <c:v>46410.84912109375</c:v>
                </c:pt>
                <c:pt idx="18">
                  <c:v>37067.420166015625</c:v>
                </c:pt>
                <c:pt idx="19">
                  <c:v>26783.529541015625</c:v>
                </c:pt>
                <c:pt idx="20">
                  <c:v>11027.188720703125</c:v>
                </c:pt>
                <c:pt idx="21">
                  <c:v>9500.331787109375</c:v>
                </c:pt>
                <c:pt idx="22">
                  <c:v>3960.9924163818359</c:v>
                </c:pt>
                <c:pt idx="23">
                  <c:v>2383.97314453125</c:v>
                </c:pt>
                <c:pt idx="24">
                  <c:v>-469.011962890625</c:v>
                </c:pt>
                <c:pt idx="25">
                  <c:v>2086.0006713867169</c:v>
                </c:pt>
                <c:pt idx="26">
                  <c:v>9106.240478515625</c:v>
                </c:pt>
                <c:pt idx="27">
                  <c:v>9002.7138671875</c:v>
                </c:pt>
                <c:pt idx="28">
                  <c:v>21333.694580078125</c:v>
                </c:pt>
                <c:pt idx="29">
                  <c:v>32579.269622802734</c:v>
                </c:pt>
                <c:pt idx="30">
                  <c:v>43728.438232421875</c:v>
                </c:pt>
                <c:pt idx="31">
                  <c:v>54294.305053710938</c:v>
                </c:pt>
                <c:pt idx="32">
                  <c:v>63935.062744140625</c:v>
                </c:pt>
                <c:pt idx="33">
                  <c:v>74896.1513671875</c:v>
                </c:pt>
                <c:pt idx="34">
                  <c:v>98625.26025390625</c:v>
                </c:pt>
                <c:pt idx="35">
                  <c:v>129873.234375</c:v>
                </c:pt>
                <c:pt idx="36">
                  <c:v>158577.857421875</c:v>
                </c:pt>
                <c:pt idx="37">
                  <c:v>186517.787109375</c:v>
                </c:pt>
                <c:pt idx="38">
                  <c:v>198347.318359375</c:v>
                </c:pt>
                <c:pt idx="39">
                  <c:v>213866.26953125</c:v>
                </c:pt>
                <c:pt idx="40">
                  <c:v>219989.296875</c:v>
                </c:pt>
                <c:pt idx="41">
                  <c:v>219029.26171875</c:v>
                </c:pt>
                <c:pt idx="42">
                  <c:v>215990.140625</c:v>
                </c:pt>
                <c:pt idx="43">
                  <c:v>205679.212890625</c:v>
                </c:pt>
                <c:pt idx="44">
                  <c:v>192850.54296875</c:v>
                </c:pt>
                <c:pt idx="45">
                  <c:v>181076.15625</c:v>
                </c:pt>
                <c:pt idx="46">
                  <c:v>166900.794921875</c:v>
                </c:pt>
                <c:pt idx="47">
                  <c:v>151578.24609375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F9D-45C4-80F7-F34C82430D8F}"/>
            </c:ext>
          </c:extLst>
        </c:ser>
        <c:ser>
          <c:idx val="9"/>
          <c:order val="9"/>
          <c:tx>
            <c:strRef>
              <c:f>measured_powers!$AW$252</c:f>
              <c:strCache>
                <c:ptCount val="1"/>
                <c:pt idx="0">
                  <c:v>p_675_A_W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measured_powers!$AM$253:$AM$300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measured_powers!$AW$253:$AW$300</c:f>
              <c:numCache>
                <c:formatCode>General</c:formatCode>
                <c:ptCount val="48"/>
                <c:pt idx="0">
                  <c:v>154150.77031250001</c:v>
                </c:pt>
                <c:pt idx="1">
                  <c:v>136137.197265625</c:v>
                </c:pt>
                <c:pt idx="2">
                  <c:v>131454.478515625</c:v>
                </c:pt>
                <c:pt idx="3">
                  <c:v>119451.5234375</c:v>
                </c:pt>
                <c:pt idx="4">
                  <c:v>111062.837890625</c:v>
                </c:pt>
                <c:pt idx="5">
                  <c:v>112886.59765625</c:v>
                </c:pt>
                <c:pt idx="6">
                  <c:v>106477.9296875</c:v>
                </c:pt>
                <c:pt idx="7">
                  <c:v>105216.107421875</c:v>
                </c:pt>
                <c:pt idx="8">
                  <c:v>98861.38671875</c:v>
                </c:pt>
                <c:pt idx="9">
                  <c:v>97137.974609375</c:v>
                </c:pt>
                <c:pt idx="10">
                  <c:v>96026.302734375</c:v>
                </c:pt>
                <c:pt idx="11">
                  <c:v>96541.34765625</c:v>
                </c:pt>
                <c:pt idx="12">
                  <c:v>94459.580078125</c:v>
                </c:pt>
                <c:pt idx="13">
                  <c:v>96667.173828125</c:v>
                </c:pt>
                <c:pt idx="14">
                  <c:v>96946.265625</c:v>
                </c:pt>
                <c:pt idx="15">
                  <c:v>88284.626953125</c:v>
                </c:pt>
                <c:pt idx="16">
                  <c:v>69396.7041015625</c:v>
                </c:pt>
                <c:pt idx="17">
                  <c:v>55026.7763671875</c:v>
                </c:pt>
                <c:pt idx="18">
                  <c:v>39241.23095703125</c:v>
                </c:pt>
                <c:pt idx="19">
                  <c:v>22840.002197265625</c:v>
                </c:pt>
                <c:pt idx="20">
                  <c:v>2151.9180908203125</c:v>
                </c:pt>
                <c:pt idx="21">
                  <c:v>-8820.7529907226544</c:v>
                </c:pt>
                <c:pt idx="22">
                  <c:v>-16121.70166015625</c:v>
                </c:pt>
                <c:pt idx="23">
                  <c:v>-12207.390625</c:v>
                </c:pt>
                <c:pt idx="24">
                  <c:v>-12229.407470703125</c:v>
                </c:pt>
                <c:pt idx="25">
                  <c:v>-8381.7989501953125</c:v>
                </c:pt>
                <c:pt idx="26">
                  <c:v>-12312.948120117188</c:v>
                </c:pt>
                <c:pt idx="27">
                  <c:v>-14518.397705078125</c:v>
                </c:pt>
                <c:pt idx="28">
                  <c:v>744.10693359375</c:v>
                </c:pt>
                <c:pt idx="29">
                  <c:v>19707.874877929688</c:v>
                </c:pt>
                <c:pt idx="30">
                  <c:v>32940.422729492188</c:v>
                </c:pt>
                <c:pt idx="31">
                  <c:v>49347.413909912109</c:v>
                </c:pt>
                <c:pt idx="32">
                  <c:v>62164.208435058594</c:v>
                </c:pt>
                <c:pt idx="33">
                  <c:v>76867.556884765625</c:v>
                </c:pt>
                <c:pt idx="34">
                  <c:v>113227.720703125</c:v>
                </c:pt>
                <c:pt idx="35">
                  <c:v>143971.7099609375</c:v>
                </c:pt>
                <c:pt idx="36">
                  <c:v>187291.123046875</c:v>
                </c:pt>
                <c:pt idx="37">
                  <c:v>224318.087890625</c:v>
                </c:pt>
                <c:pt idx="38">
                  <c:v>243944.228515625</c:v>
                </c:pt>
                <c:pt idx="39">
                  <c:v>253048.087890625</c:v>
                </c:pt>
                <c:pt idx="40">
                  <c:v>254043.55859375</c:v>
                </c:pt>
                <c:pt idx="41">
                  <c:v>260726.97265625</c:v>
                </c:pt>
                <c:pt idx="42">
                  <c:v>261739.3515625</c:v>
                </c:pt>
                <c:pt idx="43">
                  <c:v>247217.734375</c:v>
                </c:pt>
                <c:pt idx="44">
                  <c:v>238156.92578125</c:v>
                </c:pt>
                <c:pt idx="45">
                  <c:v>220867.091796875</c:v>
                </c:pt>
                <c:pt idx="46">
                  <c:v>210979.009765625</c:v>
                </c:pt>
                <c:pt idx="47">
                  <c:v>180043.822265625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F9D-45C4-80F7-F34C82430D8F}"/>
            </c:ext>
          </c:extLst>
        </c:ser>
        <c:ser>
          <c:idx val="10"/>
          <c:order val="10"/>
          <c:tx>
            <c:strRef>
              <c:f>measured_powers!$AX$252</c:f>
              <c:strCache>
                <c:ptCount val="1"/>
                <c:pt idx="0">
                  <c:v>p_675_B_W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measured_powers!$AM$253:$AM$300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measured_powers!$AX$253:$AX$300</c:f>
              <c:numCache>
                <c:formatCode>General</c:formatCode>
                <c:ptCount val="48"/>
                <c:pt idx="0">
                  <c:v>28091.191015625001</c:v>
                </c:pt>
                <c:pt idx="1">
                  <c:v>22267.6689453125</c:v>
                </c:pt>
                <c:pt idx="2">
                  <c:v>19391.610595703125</c:v>
                </c:pt>
                <c:pt idx="3">
                  <c:v>17844.220703125</c:v>
                </c:pt>
                <c:pt idx="4">
                  <c:v>16491.6923828125</c:v>
                </c:pt>
                <c:pt idx="5">
                  <c:v>15995.9912109375</c:v>
                </c:pt>
                <c:pt idx="6">
                  <c:v>15900.46044921875</c:v>
                </c:pt>
                <c:pt idx="7">
                  <c:v>15489.8408203125</c:v>
                </c:pt>
                <c:pt idx="8">
                  <c:v>14088.3994140625</c:v>
                </c:pt>
                <c:pt idx="9">
                  <c:v>15521.042236328125</c:v>
                </c:pt>
                <c:pt idx="10">
                  <c:v>15512.50390625</c:v>
                </c:pt>
                <c:pt idx="11">
                  <c:v>16098.365234375</c:v>
                </c:pt>
                <c:pt idx="12">
                  <c:v>16272.090576171875</c:v>
                </c:pt>
                <c:pt idx="13">
                  <c:v>15230.63671875</c:v>
                </c:pt>
                <c:pt idx="14">
                  <c:v>15790.125732421875</c:v>
                </c:pt>
                <c:pt idx="15">
                  <c:v>14400.1328125</c:v>
                </c:pt>
                <c:pt idx="16">
                  <c:v>13043.0634765625</c:v>
                </c:pt>
                <c:pt idx="17">
                  <c:v>11354.134033203125</c:v>
                </c:pt>
                <c:pt idx="18">
                  <c:v>8903.7830810546875</c:v>
                </c:pt>
                <c:pt idx="19">
                  <c:v>5090.0900268554697</c:v>
                </c:pt>
                <c:pt idx="20">
                  <c:v>913.66336059569994</c:v>
                </c:pt>
                <c:pt idx="21">
                  <c:v>1148.3566589355451</c:v>
                </c:pt>
                <c:pt idx="22">
                  <c:v>-1009.815673828125</c:v>
                </c:pt>
                <c:pt idx="23">
                  <c:v>-2234.5892333984375</c:v>
                </c:pt>
                <c:pt idx="24">
                  <c:v>-4643.7003784179706</c:v>
                </c:pt>
                <c:pt idx="25">
                  <c:v>-2320.728271484375</c:v>
                </c:pt>
                <c:pt idx="26">
                  <c:v>1569.9906005859375</c:v>
                </c:pt>
                <c:pt idx="27">
                  <c:v>3646.6856689453125</c:v>
                </c:pt>
                <c:pt idx="28">
                  <c:v>6726.5552978515634</c:v>
                </c:pt>
                <c:pt idx="29">
                  <c:v>4440.999755859375</c:v>
                </c:pt>
                <c:pt idx="30">
                  <c:v>8865.7713623046875</c:v>
                </c:pt>
                <c:pt idx="31">
                  <c:v>10667.494995117188</c:v>
                </c:pt>
                <c:pt idx="32">
                  <c:v>13762.127258300781</c:v>
                </c:pt>
                <c:pt idx="33">
                  <c:v>16013.43359375</c:v>
                </c:pt>
                <c:pt idx="34">
                  <c:v>20171.300537109375</c:v>
                </c:pt>
                <c:pt idx="35">
                  <c:v>28635.6611328125</c:v>
                </c:pt>
                <c:pt idx="36">
                  <c:v>34149.1123046875</c:v>
                </c:pt>
                <c:pt idx="37">
                  <c:v>38417.85498046875</c:v>
                </c:pt>
                <c:pt idx="38">
                  <c:v>41384.7744140625</c:v>
                </c:pt>
                <c:pt idx="39">
                  <c:v>46744.90576171875</c:v>
                </c:pt>
                <c:pt idx="40">
                  <c:v>48144.9130859375</c:v>
                </c:pt>
                <c:pt idx="41">
                  <c:v>46913.201171875</c:v>
                </c:pt>
                <c:pt idx="42">
                  <c:v>48486.1025390625</c:v>
                </c:pt>
                <c:pt idx="43">
                  <c:v>46972.4208984375</c:v>
                </c:pt>
                <c:pt idx="44">
                  <c:v>43760.12939453125</c:v>
                </c:pt>
                <c:pt idx="45">
                  <c:v>39210.013671875</c:v>
                </c:pt>
                <c:pt idx="46">
                  <c:v>34327.08837890625</c:v>
                </c:pt>
                <c:pt idx="47">
                  <c:v>33353.90478515625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F9D-45C4-80F7-F34C82430D8F}"/>
            </c:ext>
          </c:extLst>
        </c:ser>
        <c:ser>
          <c:idx val="11"/>
          <c:order val="11"/>
          <c:tx>
            <c:strRef>
              <c:f>measured_powers!$AY$252</c:f>
              <c:strCache>
                <c:ptCount val="1"/>
                <c:pt idx="0">
                  <c:v>p_675_C_W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measured_powers!$AM$253:$AM$300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measured_powers!$AY$253:$AY$300</c:f>
              <c:numCache>
                <c:formatCode>General</c:formatCode>
                <c:ptCount val="48"/>
                <c:pt idx="0">
                  <c:v>82754.688281249997</c:v>
                </c:pt>
                <c:pt idx="1">
                  <c:v>73703.771484375</c:v>
                </c:pt>
                <c:pt idx="2">
                  <c:v>72404.5927734375</c:v>
                </c:pt>
                <c:pt idx="3">
                  <c:v>62686.7109375</c:v>
                </c:pt>
                <c:pt idx="4">
                  <c:v>61027.8818359375</c:v>
                </c:pt>
                <c:pt idx="5">
                  <c:v>66278.3857421875</c:v>
                </c:pt>
                <c:pt idx="6">
                  <c:v>64846.9189453125</c:v>
                </c:pt>
                <c:pt idx="7">
                  <c:v>63013.2900390625</c:v>
                </c:pt>
                <c:pt idx="8">
                  <c:v>57428.486328125</c:v>
                </c:pt>
                <c:pt idx="9">
                  <c:v>55649.37890625</c:v>
                </c:pt>
                <c:pt idx="10">
                  <c:v>51661.6953125</c:v>
                </c:pt>
                <c:pt idx="11">
                  <c:v>51992.0986328125</c:v>
                </c:pt>
                <c:pt idx="12">
                  <c:v>49653.1630859375</c:v>
                </c:pt>
                <c:pt idx="13">
                  <c:v>51172.55078125</c:v>
                </c:pt>
                <c:pt idx="14">
                  <c:v>51980.25390625</c:v>
                </c:pt>
                <c:pt idx="15">
                  <c:v>49727.53125</c:v>
                </c:pt>
                <c:pt idx="16">
                  <c:v>43371.8271484375</c:v>
                </c:pt>
                <c:pt idx="17">
                  <c:v>33361.53515625</c:v>
                </c:pt>
                <c:pt idx="18">
                  <c:v>24970.712280273438</c:v>
                </c:pt>
                <c:pt idx="19">
                  <c:v>15251.181762695313</c:v>
                </c:pt>
                <c:pt idx="20">
                  <c:v>3888.3262939453125</c:v>
                </c:pt>
                <c:pt idx="21">
                  <c:v>-3210.3940906524658</c:v>
                </c:pt>
                <c:pt idx="22">
                  <c:v>-4514.255859375</c:v>
                </c:pt>
                <c:pt idx="23">
                  <c:v>-7829.525146484375</c:v>
                </c:pt>
                <c:pt idx="24">
                  <c:v>-7488.330322265625</c:v>
                </c:pt>
                <c:pt idx="25">
                  <c:v>-5316.220947265625</c:v>
                </c:pt>
                <c:pt idx="26">
                  <c:v>-10715.960021972658</c:v>
                </c:pt>
                <c:pt idx="27">
                  <c:v>-7082.23095703125</c:v>
                </c:pt>
                <c:pt idx="28">
                  <c:v>4021.356201171875</c:v>
                </c:pt>
                <c:pt idx="29">
                  <c:v>15887.88623046875</c:v>
                </c:pt>
                <c:pt idx="30">
                  <c:v>22168.1376953125</c:v>
                </c:pt>
                <c:pt idx="31">
                  <c:v>36342.731323242188</c:v>
                </c:pt>
                <c:pt idx="32">
                  <c:v>50910.338134765625</c:v>
                </c:pt>
                <c:pt idx="33">
                  <c:v>57534.9580078125</c:v>
                </c:pt>
                <c:pt idx="34">
                  <c:v>77815.09521484375</c:v>
                </c:pt>
                <c:pt idx="35">
                  <c:v>95352.1953125</c:v>
                </c:pt>
                <c:pt idx="36">
                  <c:v>119037.6396484375</c:v>
                </c:pt>
                <c:pt idx="37">
                  <c:v>138006.109375</c:v>
                </c:pt>
                <c:pt idx="38">
                  <c:v>144566.1875</c:v>
                </c:pt>
                <c:pt idx="39">
                  <c:v>150657</c:v>
                </c:pt>
                <c:pt idx="40">
                  <c:v>154415.341796875</c:v>
                </c:pt>
                <c:pt idx="41">
                  <c:v>156041.4140625</c:v>
                </c:pt>
                <c:pt idx="42">
                  <c:v>151477.0703125</c:v>
                </c:pt>
                <c:pt idx="43">
                  <c:v>141170.80859375</c:v>
                </c:pt>
                <c:pt idx="44">
                  <c:v>133169.107421875</c:v>
                </c:pt>
                <c:pt idx="45">
                  <c:v>118846.69921875</c:v>
                </c:pt>
                <c:pt idx="46">
                  <c:v>105606.0927734375</c:v>
                </c:pt>
                <c:pt idx="47">
                  <c:v>96957.7802734375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F9D-45C4-80F7-F34C82430D8F}"/>
            </c:ext>
          </c:extLst>
        </c:ser>
        <c:ser>
          <c:idx val="12"/>
          <c:order val="12"/>
          <c:tx>
            <c:strRef>
              <c:f>measured_powers!$AZ$252</c:f>
              <c:strCache>
                <c:ptCount val="1"/>
                <c:pt idx="0">
                  <c:v>p_692_C_W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measured_powers!$AM$253:$AM$300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measured_powers!$AZ$253:$AZ$300</c:f>
              <c:numCache>
                <c:formatCode>General</c:formatCode>
                <c:ptCount val="48"/>
                <c:pt idx="0">
                  <c:v>48945.75390625</c:v>
                </c:pt>
                <c:pt idx="1">
                  <c:v>41173.0849609375</c:v>
                </c:pt>
                <c:pt idx="2">
                  <c:v>35390.1484375</c:v>
                </c:pt>
                <c:pt idx="3">
                  <c:v>35730.24951171875</c:v>
                </c:pt>
                <c:pt idx="4">
                  <c:v>31926.31298828125</c:v>
                </c:pt>
                <c:pt idx="5">
                  <c:v>30374.47998046875</c:v>
                </c:pt>
                <c:pt idx="6">
                  <c:v>28437.9853515625</c:v>
                </c:pt>
                <c:pt idx="7">
                  <c:v>30026.01416015625</c:v>
                </c:pt>
                <c:pt idx="8">
                  <c:v>28312.42236328125</c:v>
                </c:pt>
                <c:pt idx="9">
                  <c:v>28432.92919921875</c:v>
                </c:pt>
                <c:pt idx="10">
                  <c:v>27058.10888671875</c:v>
                </c:pt>
                <c:pt idx="11">
                  <c:v>27123.03662109375</c:v>
                </c:pt>
                <c:pt idx="12">
                  <c:v>26987.5986328125</c:v>
                </c:pt>
                <c:pt idx="13">
                  <c:v>29720.0302734375</c:v>
                </c:pt>
                <c:pt idx="14">
                  <c:v>32194.40869140625</c:v>
                </c:pt>
                <c:pt idx="15">
                  <c:v>34718.4521484375</c:v>
                </c:pt>
                <c:pt idx="16">
                  <c:v>34472.48876953125</c:v>
                </c:pt>
                <c:pt idx="17">
                  <c:v>34750.654296875</c:v>
                </c:pt>
                <c:pt idx="18">
                  <c:v>36245.3232421875</c:v>
                </c:pt>
                <c:pt idx="19">
                  <c:v>33145.56396484375</c:v>
                </c:pt>
                <c:pt idx="20">
                  <c:v>34666.4189453125</c:v>
                </c:pt>
                <c:pt idx="21">
                  <c:v>33393.60888671875</c:v>
                </c:pt>
                <c:pt idx="22">
                  <c:v>35996.22998046875</c:v>
                </c:pt>
                <c:pt idx="23">
                  <c:v>40553.85400390625</c:v>
                </c:pt>
                <c:pt idx="24">
                  <c:v>42082.0703125</c:v>
                </c:pt>
                <c:pt idx="25">
                  <c:v>49321.4990234375</c:v>
                </c:pt>
                <c:pt idx="26">
                  <c:v>48493.279296875</c:v>
                </c:pt>
                <c:pt idx="27">
                  <c:v>49057.44482421875</c:v>
                </c:pt>
                <c:pt idx="28">
                  <c:v>49023.935546875</c:v>
                </c:pt>
                <c:pt idx="29">
                  <c:v>49258.16162109375</c:v>
                </c:pt>
                <c:pt idx="30">
                  <c:v>52756.5263671875</c:v>
                </c:pt>
                <c:pt idx="31">
                  <c:v>56974.9111328125</c:v>
                </c:pt>
                <c:pt idx="32">
                  <c:v>57421.23876953125</c:v>
                </c:pt>
                <c:pt idx="33">
                  <c:v>57953.88623046875</c:v>
                </c:pt>
                <c:pt idx="34">
                  <c:v>65143.9990234375</c:v>
                </c:pt>
                <c:pt idx="35">
                  <c:v>70211.150390625</c:v>
                </c:pt>
                <c:pt idx="36">
                  <c:v>78610.3994140625</c:v>
                </c:pt>
                <c:pt idx="37">
                  <c:v>86802.3369140625</c:v>
                </c:pt>
                <c:pt idx="38">
                  <c:v>90059.919921875</c:v>
                </c:pt>
                <c:pt idx="39">
                  <c:v>85355.0419921875</c:v>
                </c:pt>
                <c:pt idx="40">
                  <c:v>82267.935546875</c:v>
                </c:pt>
                <c:pt idx="41">
                  <c:v>85057.9033203125</c:v>
                </c:pt>
                <c:pt idx="42">
                  <c:v>87693.60546875</c:v>
                </c:pt>
                <c:pt idx="43">
                  <c:v>81575.6806640625</c:v>
                </c:pt>
                <c:pt idx="44">
                  <c:v>75261.244140625</c:v>
                </c:pt>
                <c:pt idx="45">
                  <c:v>68234.3203125</c:v>
                </c:pt>
                <c:pt idx="46">
                  <c:v>70121.0009765625</c:v>
                </c:pt>
                <c:pt idx="47">
                  <c:v>57667.76220703125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F9D-45C4-80F7-F34C82430D8F}"/>
            </c:ext>
          </c:extLst>
        </c:ser>
        <c:ser>
          <c:idx val="13"/>
          <c:order val="13"/>
          <c:tx>
            <c:strRef>
              <c:f>measured_powers!$BA$252</c:f>
              <c:strCache>
                <c:ptCount val="1"/>
                <c:pt idx="0">
                  <c:v>p_611_C_W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measured_powers!$AM$253:$AM$300</c:f>
              <c:numCache>
                <c:formatCode>h:mm</c:formatCode>
                <c:ptCount val="48"/>
                <c:pt idx="0">
                  <c:v>0</c:v>
                </c:pt>
                <c:pt idx="1">
                  <c:v>2.0833333333333332E-2</c:v>
                </c:pt>
                <c:pt idx="2">
                  <c:v>4.1666666666666664E-2</c:v>
                </c:pt>
                <c:pt idx="3">
                  <c:v>6.25E-2</c:v>
                </c:pt>
                <c:pt idx="4">
                  <c:v>8.3333333333333329E-2</c:v>
                </c:pt>
                <c:pt idx="5">
                  <c:v>0.10416666666666667</c:v>
                </c:pt>
                <c:pt idx="6">
                  <c:v>0.125</c:v>
                </c:pt>
                <c:pt idx="7">
                  <c:v>0.14583333333333334</c:v>
                </c:pt>
                <c:pt idx="8">
                  <c:v>0.16666666666666666</c:v>
                </c:pt>
                <c:pt idx="9">
                  <c:v>0.1875</c:v>
                </c:pt>
                <c:pt idx="10">
                  <c:v>0.20833333333333334</c:v>
                </c:pt>
                <c:pt idx="11">
                  <c:v>0.22916666666666666</c:v>
                </c:pt>
                <c:pt idx="12">
                  <c:v>0.25</c:v>
                </c:pt>
                <c:pt idx="13">
                  <c:v>0.27083333333333331</c:v>
                </c:pt>
                <c:pt idx="14">
                  <c:v>0.29166666666666669</c:v>
                </c:pt>
                <c:pt idx="15">
                  <c:v>0.3125</c:v>
                </c:pt>
                <c:pt idx="16">
                  <c:v>0.33333333333333331</c:v>
                </c:pt>
                <c:pt idx="17">
                  <c:v>0.35416666666666669</c:v>
                </c:pt>
                <c:pt idx="18">
                  <c:v>0.375</c:v>
                </c:pt>
                <c:pt idx="19">
                  <c:v>0.39583333333333331</c:v>
                </c:pt>
                <c:pt idx="20">
                  <c:v>0.41666666666666669</c:v>
                </c:pt>
                <c:pt idx="21">
                  <c:v>0.4375</c:v>
                </c:pt>
                <c:pt idx="22">
                  <c:v>0.45833333333333331</c:v>
                </c:pt>
                <c:pt idx="23">
                  <c:v>0.47916666666666669</c:v>
                </c:pt>
                <c:pt idx="24">
                  <c:v>0.5</c:v>
                </c:pt>
                <c:pt idx="25">
                  <c:v>0.52083333333333337</c:v>
                </c:pt>
                <c:pt idx="26">
                  <c:v>0.54166666666666663</c:v>
                </c:pt>
                <c:pt idx="27">
                  <c:v>0.5625</c:v>
                </c:pt>
                <c:pt idx="28">
                  <c:v>0.58333333333333337</c:v>
                </c:pt>
                <c:pt idx="29">
                  <c:v>0.60416666666666663</c:v>
                </c:pt>
                <c:pt idx="30">
                  <c:v>0.625</c:v>
                </c:pt>
                <c:pt idx="31">
                  <c:v>0.64583333333333337</c:v>
                </c:pt>
                <c:pt idx="32">
                  <c:v>0.66666666666666663</c:v>
                </c:pt>
                <c:pt idx="33">
                  <c:v>0.6875</c:v>
                </c:pt>
                <c:pt idx="34">
                  <c:v>0.70833333333333337</c:v>
                </c:pt>
                <c:pt idx="35">
                  <c:v>0.72916666666666663</c:v>
                </c:pt>
                <c:pt idx="36">
                  <c:v>0.75</c:v>
                </c:pt>
                <c:pt idx="37">
                  <c:v>0.77083333333333337</c:v>
                </c:pt>
                <c:pt idx="38">
                  <c:v>0.79166666666666663</c:v>
                </c:pt>
                <c:pt idx="39">
                  <c:v>0.8125</c:v>
                </c:pt>
                <c:pt idx="40">
                  <c:v>0.83333333333333337</c:v>
                </c:pt>
                <c:pt idx="41">
                  <c:v>0.85416666666666663</c:v>
                </c:pt>
                <c:pt idx="42">
                  <c:v>0.875</c:v>
                </c:pt>
                <c:pt idx="43">
                  <c:v>0.89583333333333337</c:v>
                </c:pt>
                <c:pt idx="44">
                  <c:v>0.91666666666666663</c:v>
                </c:pt>
                <c:pt idx="45">
                  <c:v>0.9375</c:v>
                </c:pt>
                <c:pt idx="46">
                  <c:v>0.95833333333333337</c:v>
                </c:pt>
                <c:pt idx="47">
                  <c:v>0.97916666666666663</c:v>
                </c:pt>
              </c:numCache>
            </c:numRef>
          </c:cat>
          <c:val>
            <c:numRef>
              <c:f>measured_powers!$BA$253:$BA$300</c:f>
              <c:numCache>
                <c:formatCode>General</c:formatCode>
                <c:ptCount val="48"/>
                <c:pt idx="0">
                  <c:v>48642.611328125</c:v>
                </c:pt>
                <c:pt idx="1">
                  <c:v>39570.26708984375</c:v>
                </c:pt>
                <c:pt idx="2">
                  <c:v>35692.37939453125</c:v>
                </c:pt>
                <c:pt idx="3">
                  <c:v>36224.18505859375</c:v>
                </c:pt>
                <c:pt idx="4">
                  <c:v>33483.87451171875</c:v>
                </c:pt>
                <c:pt idx="5">
                  <c:v>33107.68603515625</c:v>
                </c:pt>
                <c:pt idx="6">
                  <c:v>30483.33740234375</c:v>
                </c:pt>
                <c:pt idx="7">
                  <c:v>31244.78369140625</c:v>
                </c:pt>
                <c:pt idx="8">
                  <c:v>29134.37548828125</c:v>
                </c:pt>
                <c:pt idx="9">
                  <c:v>30143.74853515625</c:v>
                </c:pt>
                <c:pt idx="10">
                  <c:v>29394.20263671875</c:v>
                </c:pt>
                <c:pt idx="11">
                  <c:v>29605.5908203125</c:v>
                </c:pt>
                <c:pt idx="12">
                  <c:v>28517.20751953125</c:v>
                </c:pt>
                <c:pt idx="13">
                  <c:v>31415.32763671875</c:v>
                </c:pt>
                <c:pt idx="14">
                  <c:v>32411.44873046875</c:v>
                </c:pt>
                <c:pt idx="15">
                  <c:v>29782.60400390625</c:v>
                </c:pt>
                <c:pt idx="16">
                  <c:v>24119.6328125</c:v>
                </c:pt>
                <c:pt idx="17">
                  <c:v>20073.17041015625</c:v>
                </c:pt>
                <c:pt idx="18">
                  <c:v>14162.578979492188</c:v>
                </c:pt>
                <c:pt idx="19">
                  <c:v>6357.7846069335919</c:v>
                </c:pt>
                <c:pt idx="20">
                  <c:v>-239.99591064453216</c:v>
                </c:pt>
                <c:pt idx="21">
                  <c:v>-5643.3380126953125</c:v>
                </c:pt>
                <c:pt idx="22">
                  <c:v>-6050.397705078125</c:v>
                </c:pt>
                <c:pt idx="23">
                  <c:v>-4865.06982421875</c:v>
                </c:pt>
                <c:pt idx="24">
                  <c:v>-6678.1280517578125</c:v>
                </c:pt>
                <c:pt idx="25">
                  <c:v>-2538.8205871582022</c:v>
                </c:pt>
                <c:pt idx="26">
                  <c:v>-5791.36962890625</c:v>
                </c:pt>
                <c:pt idx="27">
                  <c:v>-5184.93310546875</c:v>
                </c:pt>
                <c:pt idx="28">
                  <c:v>-796.4931640625</c:v>
                </c:pt>
                <c:pt idx="29">
                  <c:v>2882.0868530273438</c:v>
                </c:pt>
                <c:pt idx="30">
                  <c:v>8092.6029357910174</c:v>
                </c:pt>
                <c:pt idx="31">
                  <c:v>13633.902572631836</c:v>
                </c:pt>
                <c:pt idx="32">
                  <c:v>17354.30103302002</c:v>
                </c:pt>
                <c:pt idx="33">
                  <c:v>21123.870132446289</c:v>
                </c:pt>
                <c:pt idx="34">
                  <c:v>34863.2451171875</c:v>
                </c:pt>
                <c:pt idx="35">
                  <c:v>42646.86328125</c:v>
                </c:pt>
                <c:pt idx="36">
                  <c:v>60358.1376953125</c:v>
                </c:pt>
                <c:pt idx="37">
                  <c:v>74289.9287109375</c:v>
                </c:pt>
                <c:pt idx="38">
                  <c:v>81545.9501953125</c:v>
                </c:pt>
                <c:pt idx="39">
                  <c:v>82286.8828125</c:v>
                </c:pt>
                <c:pt idx="40">
                  <c:v>83453.9560546875</c:v>
                </c:pt>
                <c:pt idx="41">
                  <c:v>87108.40234375</c:v>
                </c:pt>
                <c:pt idx="42">
                  <c:v>88772.0498046875</c:v>
                </c:pt>
                <c:pt idx="43">
                  <c:v>82944.1201171875</c:v>
                </c:pt>
                <c:pt idx="44">
                  <c:v>78348.8115234375</c:v>
                </c:pt>
                <c:pt idx="45">
                  <c:v>70538.5390625</c:v>
                </c:pt>
                <c:pt idx="46">
                  <c:v>67878.5986328125</c:v>
                </c:pt>
                <c:pt idx="47">
                  <c:v>55378.35888671875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F9D-45C4-80F7-F34C82430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153823"/>
        <c:axId val="453878863"/>
      </c:lineChart>
      <c:catAx>
        <c:axId val="170153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78863"/>
        <c:crosses val="autoZero"/>
        <c:auto val="1"/>
        <c:lblAlgn val="ctr"/>
        <c:lblOffset val="100"/>
        <c:noMultiLvlLbl val="0"/>
      </c:catAx>
      <c:valAx>
        <c:axId val="45387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Power</a:t>
                </a:r>
                <a:r>
                  <a:rPr lang="en-AU" baseline="0"/>
                  <a:t> (W)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36367</xdr:colOff>
      <xdr:row>505</xdr:row>
      <xdr:rowOff>12555</xdr:rowOff>
    </xdr:from>
    <xdr:to>
      <xdr:col>32</xdr:col>
      <xdr:colOff>7791</xdr:colOff>
      <xdr:row>549</xdr:row>
      <xdr:rowOff>93518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8A55F1-99B9-9E38-E9CB-79B528FAA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598342</xdr:colOff>
      <xdr:row>550</xdr:row>
      <xdr:rowOff>118196</xdr:rowOff>
    </xdr:from>
    <xdr:to>
      <xdr:col>31</xdr:col>
      <xdr:colOff>554181</xdr:colOff>
      <xdr:row>590</xdr:row>
      <xdr:rowOff>189634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53C6CA-9BD1-B9F5-C17A-B286CEA0E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568468</xdr:colOff>
      <xdr:row>592</xdr:row>
      <xdr:rowOff>22081</xdr:rowOff>
    </xdr:from>
    <xdr:to>
      <xdr:col>31</xdr:col>
      <xdr:colOff>519545</xdr:colOff>
      <xdr:row>635</xdr:row>
      <xdr:rowOff>93519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37BFCC-6481-0B1B-1F27-964B0973D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55AA2-0F8B-4C04-B2D7-D9352D0694AA}">
  <dimension ref="A1:BA506"/>
  <sheetViews>
    <sheetView tabSelected="1" topLeftCell="S481" zoomScale="73" zoomScaleNormal="85" workbookViewId="0">
      <selection activeCell="AL506" sqref="AL506"/>
    </sheetView>
  </sheetViews>
  <sheetFormatPr defaultRowHeight="14.25" x14ac:dyDescent="0.45"/>
  <cols>
    <col min="21" max="21" width="11.3984375" bestFit="1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>
        <v>1</v>
      </c>
      <c r="B2" s="1">
        <v>41281</v>
      </c>
      <c r="C2" s="2">
        <v>2.0833333333333332E-2</v>
      </c>
      <c r="D2">
        <v>46313.484375</v>
      </c>
      <c r="E2">
        <v>24061.875</v>
      </c>
      <c r="F2">
        <v>26332.78515625</v>
      </c>
      <c r="G2">
        <v>50837.53125</v>
      </c>
      <c r="H2">
        <v>49241.890625</v>
      </c>
      <c r="I2">
        <v>27685.53125</v>
      </c>
      <c r="J2">
        <v>96272.4140625</v>
      </c>
      <c r="K2">
        <v>86422.8671875</v>
      </c>
      <c r="L2">
        <v>96115.5546875</v>
      </c>
      <c r="M2">
        <v>116083.2109375</v>
      </c>
      <c r="N2">
        <v>21324.66015625</v>
      </c>
      <c r="O2">
        <v>62722.22265625</v>
      </c>
      <c r="P2">
        <v>34798.53125</v>
      </c>
      <c r="Q2">
        <v>31957.779296875</v>
      </c>
    </row>
    <row r="3" spans="1:17" x14ac:dyDescent="0.45">
      <c r="A3">
        <v>2</v>
      </c>
      <c r="B3" s="1">
        <v>41281</v>
      </c>
      <c r="C3" s="2">
        <v>4.1666666666666664E-2</v>
      </c>
      <c r="D3">
        <v>41062.359375</v>
      </c>
      <c r="E3">
        <v>21070.326171875</v>
      </c>
      <c r="F3">
        <v>25641.20703125</v>
      </c>
      <c r="G3">
        <v>44308.0078125</v>
      </c>
      <c r="H3">
        <v>45336.953125</v>
      </c>
      <c r="I3">
        <v>29013.703125</v>
      </c>
      <c r="J3">
        <v>87418.4140625</v>
      </c>
      <c r="K3">
        <v>88301.546875</v>
      </c>
      <c r="L3">
        <v>84146.640625</v>
      </c>
      <c r="M3">
        <v>111731.9609375</v>
      </c>
      <c r="N3">
        <v>20334.34765625</v>
      </c>
      <c r="O3">
        <v>64759.3515625</v>
      </c>
      <c r="P3">
        <v>31855.81640625</v>
      </c>
      <c r="Q3">
        <v>32701.716796875</v>
      </c>
    </row>
    <row r="4" spans="1:17" x14ac:dyDescent="0.45">
      <c r="A4">
        <v>3</v>
      </c>
      <c r="B4" s="1">
        <v>41281</v>
      </c>
      <c r="C4" s="2">
        <v>6.25E-2</v>
      </c>
      <c r="D4">
        <v>36163.59765625</v>
      </c>
      <c r="E4">
        <v>16906.9296875</v>
      </c>
      <c r="F4">
        <v>22403.7890625</v>
      </c>
      <c r="G4">
        <v>36205.40234375</v>
      </c>
      <c r="H4">
        <v>41410.66796875</v>
      </c>
      <c r="I4">
        <v>23934.72265625</v>
      </c>
      <c r="J4">
        <v>74641.4296875</v>
      </c>
      <c r="K4">
        <v>76381.25</v>
      </c>
      <c r="L4">
        <v>73363.3515625</v>
      </c>
      <c r="M4">
        <v>97275.1875</v>
      </c>
      <c r="N4">
        <v>15290.7724609375</v>
      </c>
      <c r="O4">
        <v>54305.5390625</v>
      </c>
      <c r="P4">
        <v>29831.298828125</v>
      </c>
      <c r="Q4">
        <v>30475.845703125</v>
      </c>
    </row>
    <row r="5" spans="1:17" x14ac:dyDescent="0.45">
      <c r="A5">
        <v>4</v>
      </c>
      <c r="B5" s="1">
        <v>41281</v>
      </c>
      <c r="C5" s="2">
        <v>8.3333333333333329E-2</v>
      </c>
      <c r="D5">
        <v>32887.44921875</v>
      </c>
      <c r="E5">
        <v>17639.46484375</v>
      </c>
      <c r="F5">
        <v>22278.935546875</v>
      </c>
      <c r="G5">
        <v>29846.482421875</v>
      </c>
      <c r="H5">
        <v>43601.29296875</v>
      </c>
      <c r="I5">
        <v>20343.9296875</v>
      </c>
      <c r="J5">
        <v>72785.625</v>
      </c>
      <c r="K5">
        <v>68606.3125</v>
      </c>
      <c r="L5">
        <v>71126.3359375</v>
      </c>
      <c r="M5">
        <v>86744.7578125</v>
      </c>
      <c r="N5">
        <v>17072.654296875</v>
      </c>
      <c r="O5">
        <v>49290.09765625</v>
      </c>
      <c r="P5">
        <v>27050.392578125</v>
      </c>
      <c r="Q5">
        <v>27853.6171875</v>
      </c>
    </row>
    <row r="6" spans="1:17" x14ac:dyDescent="0.45">
      <c r="A6">
        <v>5</v>
      </c>
      <c r="B6" s="1">
        <v>41281</v>
      </c>
      <c r="C6" s="2">
        <v>0.10416666666666667</v>
      </c>
      <c r="D6">
        <v>29002.380859375</v>
      </c>
      <c r="E6">
        <v>12844.52734375</v>
      </c>
      <c r="F6">
        <v>22118.52734375</v>
      </c>
      <c r="G6">
        <v>29493.1875</v>
      </c>
      <c r="H6">
        <v>35153.1796875</v>
      </c>
      <c r="I6">
        <v>24428.775390625</v>
      </c>
      <c r="J6">
        <v>63790.77734375</v>
      </c>
      <c r="K6">
        <v>70383.1015625</v>
      </c>
      <c r="L6">
        <v>62037.71875</v>
      </c>
      <c r="M6">
        <v>85030.6171875</v>
      </c>
      <c r="N6">
        <v>12379.8642578125</v>
      </c>
      <c r="O6">
        <v>51010.4453125</v>
      </c>
      <c r="P6">
        <v>25418.193359375</v>
      </c>
      <c r="Q6">
        <v>25262.14453125</v>
      </c>
    </row>
    <row r="7" spans="1:17" x14ac:dyDescent="0.45">
      <c r="A7">
        <v>6</v>
      </c>
      <c r="B7" s="1">
        <v>41281</v>
      </c>
      <c r="C7" s="2">
        <v>0.125</v>
      </c>
      <c r="D7">
        <v>29065.9921875</v>
      </c>
      <c r="E7">
        <v>13685.478515625</v>
      </c>
      <c r="F7">
        <v>22126.78515625</v>
      </c>
      <c r="G7">
        <v>28033.001953125</v>
      </c>
      <c r="H7">
        <v>36373.5703125</v>
      </c>
      <c r="I7">
        <v>23558.640625</v>
      </c>
      <c r="J7">
        <v>64896.75</v>
      </c>
      <c r="K7">
        <v>68950.609375</v>
      </c>
      <c r="L7">
        <v>63267.40625</v>
      </c>
      <c r="M7">
        <v>83156.3828125</v>
      </c>
      <c r="N7">
        <v>13101.201171875</v>
      </c>
      <c r="O7">
        <v>50652.33203125</v>
      </c>
      <c r="P7">
        <v>24015.8515625</v>
      </c>
      <c r="Q7">
        <v>25276.150390625</v>
      </c>
    </row>
    <row r="8" spans="1:17" x14ac:dyDescent="0.45">
      <c r="A8">
        <v>7</v>
      </c>
      <c r="B8" s="1">
        <v>41281</v>
      </c>
      <c r="C8" s="2">
        <v>0.14583333333333334</v>
      </c>
      <c r="D8">
        <v>29000.189453125</v>
      </c>
      <c r="E8">
        <v>12618.8525390625</v>
      </c>
      <c r="F8">
        <v>22236.28125</v>
      </c>
      <c r="G8">
        <v>28122.955078125</v>
      </c>
      <c r="H8">
        <v>35720.578125</v>
      </c>
      <c r="I8">
        <v>23686.65234375</v>
      </c>
      <c r="J8">
        <v>64168.96875</v>
      </c>
      <c r="K8">
        <v>66901.8515625</v>
      </c>
      <c r="L8">
        <v>62997.26171875</v>
      </c>
      <c r="M8">
        <v>81876.078125</v>
      </c>
      <c r="N8">
        <v>12237.830078125</v>
      </c>
      <c r="O8">
        <v>50536.27734375</v>
      </c>
      <c r="P8">
        <v>22567.46875</v>
      </c>
      <c r="Q8">
        <v>23793.6640625</v>
      </c>
    </row>
    <row r="9" spans="1:17" x14ac:dyDescent="0.45">
      <c r="A9">
        <v>8</v>
      </c>
      <c r="B9" s="1">
        <v>41281</v>
      </c>
      <c r="C9" s="2">
        <v>0.16666666666666666</v>
      </c>
      <c r="D9">
        <v>28712.646484375</v>
      </c>
      <c r="E9">
        <v>13397.4228515625</v>
      </c>
      <c r="F9">
        <v>22705.95703125</v>
      </c>
      <c r="G9">
        <v>28562.951171875</v>
      </c>
      <c r="H9">
        <v>37803.515625</v>
      </c>
      <c r="I9">
        <v>19411.65625</v>
      </c>
      <c r="J9">
        <v>65208.9609375</v>
      </c>
      <c r="K9">
        <v>63869.69921875</v>
      </c>
      <c r="L9">
        <v>64893.703125</v>
      </c>
      <c r="M9">
        <v>79120.8984375</v>
      </c>
      <c r="N9">
        <v>13008.0703125</v>
      </c>
      <c r="O9">
        <v>46709.06640625</v>
      </c>
      <c r="P9">
        <v>23661.728515625</v>
      </c>
      <c r="Q9">
        <v>24583.9296875</v>
      </c>
    </row>
    <row r="10" spans="1:17" x14ac:dyDescent="0.45">
      <c r="A10">
        <v>9</v>
      </c>
      <c r="B10" s="1">
        <v>41281</v>
      </c>
      <c r="C10" s="2">
        <v>0.1875</v>
      </c>
      <c r="D10">
        <v>28250.802734375</v>
      </c>
      <c r="E10">
        <v>13284.2763671875</v>
      </c>
      <c r="F10">
        <v>23447.771484375</v>
      </c>
      <c r="G10">
        <v>28138.552734375</v>
      </c>
      <c r="H10">
        <v>36604.5625</v>
      </c>
      <c r="I10">
        <v>18387.625</v>
      </c>
      <c r="J10">
        <v>66223.453125</v>
      </c>
      <c r="K10">
        <v>64679.078125</v>
      </c>
      <c r="L10">
        <v>63457.4765625</v>
      </c>
      <c r="M10">
        <v>78261.890625</v>
      </c>
      <c r="N10">
        <v>12904.0302734375</v>
      </c>
      <c r="O10">
        <v>47643.3984375</v>
      </c>
      <c r="P10">
        <v>23331.765625</v>
      </c>
      <c r="Q10">
        <v>24699.984375</v>
      </c>
    </row>
    <row r="11" spans="1:17" x14ac:dyDescent="0.45">
      <c r="A11">
        <v>10</v>
      </c>
      <c r="B11" s="1">
        <v>41281</v>
      </c>
      <c r="C11" s="2">
        <v>0.20833333333333334</v>
      </c>
      <c r="D11">
        <v>29517.4765625</v>
      </c>
      <c r="E11">
        <v>14527.3642578125</v>
      </c>
      <c r="F11">
        <v>21815.0390625</v>
      </c>
      <c r="G11">
        <v>28767.84375</v>
      </c>
      <c r="H11">
        <v>36645.14453125</v>
      </c>
      <c r="I11">
        <v>18673.681640625</v>
      </c>
      <c r="J11">
        <v>66645.546875</v>
      </c>
      <c r="K11">
        <v>62862.4375</v>
      </c>
      <c r="L11">
        <v>63573.51171875</v>
      </c>
      <c r="M11">
        <v>77605.3046875</v>
      </c>
      <c r="N11">
        <v>14408.501953125</v>
      </c>
      <c r="O11">
        <v>44874.48046875</v>
      </c>
      <c r="P11">
        <v>22665.53125</v>
      </c>
      <c r="Q11">
        <v>23095.455078125</v>
      </c>
    </row>
    <row r="12" spans="1:17" x14ac:dyDescent="0.45">
      <c r="A12">
        <v>11</v>
      </c>
      <c r="B12" s="1">
        <v>41281</v>
      </c>
      <c r="C12" s="2">
        <v>0.22916666666666666</v>
      </c>
      <c r="D12">
        <v>35168.859375</v>
      </c>
      <c r="E12">
        <v>17236.58984375</v>
      </c>
      <c r="F12">
        <v>21684.677734375</v>
      </c>
      <c r="G12">
        <v>32054.1015625</v>
      </c>
      <c r="H12">
        <v>42526.9453125</v>
      </c>
      <c r="I12">
        <v>18593.6796875</v>
      </c>
      <c r="J12">
        <v>74917.484375</v>
      </c>
      <c r="K12">
        <v>61401.890625</v>
      </c>
      <c r="L12">
        <v>72989.78125</v>
      </c>
      <c r="M12">
        <v>82450.3203125</v>
      </c>
      <c r="N12">
        <v>15486.8408203125</v>
      </c>
      <c r="O12">
        <v>46276.87109375</v>
      </c>
      <c r="P12">
        <v>21759.302734375</v>
      </c>
      <c r="Q12">
        <v>22387.1953125</v>
      </c>
    </row>
    <row r="13" spans="1:17" x14ac:dyDescent="0.45">
      <c r="A13">
        <v>12</v>
      </c>
      <c r="B13" s="1">
        <v>41281</v>
      </c>
      <c r="C13" s="2">
        <v>0.25</v>
      </c>
      <c r="D13">
        <v>34082.75</v>
      </c>
      <c r="E13">
        <v>20626.2421875</v>
      </c>
      <c r="F13">
        <v>20463.59765625</v>
      </c>
      <c r="G13">
        <v>31095.6796875</v>
      </c>
      <c r="H13">
        <v>46519.01953125</v>
      </c>
      <c r="I13">
        <v>18761.705078125</v>
      </c>
      <c r="J13">
        <v>75375.5546875</v>
      </c>
      <c r="K13">
        <v>62320.25390625</v>
      </c>
      <c r="L13">
        <v>76246.625</v>
      </c>
      <c r="M13">
        <v>84628.59375</v>
      </c>
      <c r="N13">
        <v>15948.98046875</v>
      </c>
      <c r="O13">
        <v>48075.44921875</v>
      </c>
      <c r="P13">
        <v>23861.8359375</v>
      </c>
      <c r="Q13">
        <v>24892.822265625</v>
      </c>
    </row>
    <row r="14" spans="1:17" x14ac:dyDescent="0.45">
      <c r="A14">
        <v>13</v>
      </c>
      <c r="B14" s="1">
        <v>41281</v>
      </c>
      <c r="C14" s="2">
        <v>0.27083333333333331</v>
      </c>
      <c r="D14">
        <v>32006.005859375</v>
      </c>
      <c r="E14">
        <v>20589.248046875</v>
      </c>
      <c r="F14">
        <v>20520.822265625</v>
      </c>
      <c r="G14">
        <v>29103.55078125</v>
      </c>
      <c r="H14">
        <v>44899.31640625</v>
      </c>
      <c r="I14">
        <v>19261.7265625</v>
      </c>
      <c r="J14">
        <v>73387.453125</v>
      </c>
      <c r="K14">
        <v>63343.8046875</v>
      </c>
      <c r="L14">
        <v>73222.9765625</v>
      </c>
      <c r="M14">
        <v>84762.3984375</v>
      </c>
      <c r="N14">
        <v>15652.42578125</v>
      </c>
      <c r="O14">
        <v>48461.234375</v>
      </c>
      <c r="P14">
        <v>27092.37109375</v>
      </c>
      <c r="Q14">
        <v>28031.369140625</v>
      </c>
    </row>
    <row r="15" spans="1:17" x14ac:dyDescent="0.45">
      <c r="A15">
        <v>14</v>
      </c>
      <c r="B15" s="1">
        <v>41281</v>
      </c>
      <c r="C15" s="2">
        <v>0.29166666666666669</v>
      </c>
      <c r="D15">
        <v>33994.6796875</v>
      </c>
      <c r="E15">
        <v>20078.162109375</v>
      </c>
      <c r="F15">
        <v>20319.994140625</v>
      </c>
      <c r="G15">
        <v>28255.119140625</v>
      </c>
      <c r="H15">
        <v>43636.078125</v>
      </c>
      <c r="I15">
        <v>20816.01171875</v>
      </c>
      <c r="J15">
        <v>71120.015625</v>
      </c>
      <c r="K15">
        <v>66965.28125</v>
      </c>
      <c r="L15">
        <v>71743.8515625</v>
      </c>
      <c r="M15">
        <v>87686.8984375</v>
      </c>
      <c r="N15">
        <v>15143.0693359375</v>
      </c>
      <c r="O15">
        <v>51626.83203125</v>
      </c>
      <c r="P15">
        <v>29788.326171875</v>
      </c>
      <c r="Q15">
        <v>30459.998046875</v>
      </c>
    </row>
    <row r="16" spans="1:17" x14ac:dyDescent="0.45">
      <c r="A16">
        <v>15</v>
      </c>
      <c r="B16" s="1">
        <v>41281</v>
      </c>
      <c r="C16" s="2">
        <v>0.3125</v>
      </c>
      <c r="D16">
        <v>28068.2421875</v>
      </c>
      <c r="E16">
        <v>18130.943359375</v>
      </c>
      <c r="F16">
        <v>21460.099609375</v>
      </c>
      <c r="G16">
        <v>25837.958984375</v>
      </c>
      <c r="H16">
        <v>38920.703125</v>
      </c>
      <c r="I16">
        <v>18835.76953125</v>
      </c>
      <c r="J16">
        <v>66114.34375</v>
      </c>
      <c r="K16">
        <v>66529.7578125</v>
      </c>
      <c r="L16">
        <v>60801.83203125</v>
      </c>
      <c r="M16">
        <v>78561.71875</v>
      </c>
      <c r="N16">
        <v>14466.53515625</v>
      </c>
      <c r="O16">
        <v>48761.73046875</v>
      </c>
      <c r="P16">
        <v>34473.48046875</v>
      </c>
      <c r="Q16">
        <v>25796.322265625</v>
      </c>
    </row>
    <row r="17" spans="1:17" x14ac:dyDescent="0.45">
      <c r="A17">
        <v>16</v>
      </c>
      <c r="B17" s="1">
        <v>41281</v>
      </c>
      <c r="C17" s="2">
        <v>0.33333333333333331</v>
      </c>
      <c r="D17">
        <v>23867.591796875</v>
      </c>
      <c r="E17">
        <v>13104.861328125</v>
      </c>
      <c r="F17">
        <v>16785.607421875</v>
      </c>
      <c r="G17">
        <v>19650.220703125</v>
      </c>
      <c r="H17">
        <v>29818.7734375</v>
      </c>
      <c r="I17">
        <v>12436.447265625</v>
      </c>
      <c r="J17">
        <v>50059.671875</v>
      </c>
      <c r="K17">
        <v>44387.85546875</v>
      </c>
      <c r="L17">
        <v>49600.03515625</v>
      </c>
      <c r="M17">
        <v>56401.09765625</v>
      </c>
      <c r="N17">
        <v>9684.8896484375</v>
      </c>
      <c r="O17">
        <v>35525.46484375</v>
      </c>
      <c r="P17">
        <v>31459.65625</v>
      </c>
      <c r="Q17">
        <v>20266.53515625</v>
      </c>
    </row>
    <row r="18" spans="1:17" x14ac:dyDescent="0.45">
      <c r="A18">
        <v>17</v>
      </c>
      <c r="B18" s="1">
        <v>41281</v>
      </c>
      <c r="C18" s="2">
        <v>0.35416666666666669</v>
      </c>
      <c r="D18">
        <v>18449.74609375</v>
      </c>
      <c r="E18">
        <v>9822.8447265625</v>
      </c>
      <c r="F18">
        <v>12395.7890625</v>
      </c>
      <c r="G18">
        <v>16689.326171875</v>
      </c>
      <c r="H18">
        <v>22927.75390625</v>
      </c>
      <c r="I18">
        <v>9493.87109375</v>
      </c>
      <c r="J18">
        <v>39035.11328125</v>
      </c>
      <c r="K18">
        <v>33029.78515625</v>
      </c>
      <c r="L18">
        <v>40917.9453125</v>
      </c>
      <c r="M18">
        <v>43518.57421875</v>
      </c>
      <c r="N18">
        <v>8368.7685546875</v>
      </c>
      <c r="O18">
        <v>28207.09765625</v>
      </c>
      <c r="P18">
        <v>33150.0625</v>
      </c>
      <c r="Q18">
        <v>15474.9921875</v>
      </c>
    </row>
    <row r="19" spans="1:17" x14ac:dyDescent="0.45">
      <c r="A19">
        <v>18</v>
      </c>
      <c r="B19" s="1">
        <v>41281</v>
      </c>
      <c r="C19" s="2">
        <v>0.375</v>
      </c>
      <c r="D19">
        <v>19219.44921875</v>
      </c>
      <c r="E19">
        <v>10162.3720703125</v>
      </c>
      <c r="F19">
        <v>5749.57763671875</v>
      </c>
      <c r="G19">
        <v>13550.232421875</v>
      </c>
      <c r="H19">
        <v>20879.34765625</v>
      </c>
      <c r="I19">
        <v>6389.26123046875</v>
      </c>
      <c r="J19">
        <v>33055.7109375</v>
      </c>
      <c r="K19">
        <v>14437.1513671875</v>
      </c>
      <c r="L19">
        <v>38835.4453125</v>
      </c>
      <c r="M19">
        <v>27863.5</v>
      </c>
      <c r="N19">
        <v>9975.1220703125</v>
      </c>
      <c r="O19">
        <v>15096.8701171875</v>
      </c>
      <c r="P19">
        <v>33300.1015625</v>
      </c>
      <c r="Q19">
        <v>7178.31591796875</v>
      </c>
    </row>
    <row r="20" spans="1:17" x14ac:dyDescent="0.45">
      <c r="A20">
        <v>19</v>
      </c>
      <c r="B20" s="1">
        <v>41281</v>
      </c>
      <c r="C20" s="2">
        <v>0.39583333333333331</v>
      </c>
      <c r="D20">
        <v>5219.1953125</v>
      </c>
      <c r="E20">
        <v>1091.21801757812</v>
      </c>
      <c r="F20">
        <v>-608.558837890625</v>
      </c>
      <c r="G20">
        <v>-1088.34326171875</v>
      </c>
      <c r="H20">
        <v>6366.240234375</v>
      </c>
      <c r="I20">
        <v>256.05084228515602</v>
      </c>
      <c r="J20">
        <v>6769.576171875</v>
      </c>
      <c r="K20">
        <v>-6958.48681640625</v>
      </c>
      <c r="L20">
        <v>10242.4892578125</v>
      </c>
      <c r="M20">
        <v>946.18640136718705</v>
      </c>
      <c r="N20">
        <v>2177.98754882812</v>
      </c>
      <c r="O20">
        <v>1516.4892578125</v>
      </c>
      <c r="P20">
        <v>33718.1875</v>
      </c>
      <c r="Q20">
        <v>1466.47314453125</v>
      </c>
    </row>
    <row r="21" spans="1:17" x14ac:dyDescent="0.45">
      <c r="A21">
        <v>20</v>
      </c>
      <c r="B21" s="1">
        <v>41281</v>
      </c>
      <c r="C21" s="2">
        <v>0.41666666666666669</v>
      </c>
      <c r="D21">
        <v>-962.25604248046795</v>
      </c>
      <c r="E21">
        <v>-5909.724609375</v>
      </c>
      <c r="F21">
        <v>-8010.09375</v>
      </c>
      <c r="G21">
        <v>-12373.9345703125</v>
      </c>
      <c r="H21">
        <v>-6106.134765625</v>
      </c>
      <c r="I21">
        <v>-5939.1787109375</v>
      </c>
      <c r="J21">
        <v>-11262.6240234375</v>
      </c>
      <c r="K21">
        <v>-28148.044921875</v>
      </c>
      <c r="L21">
        <v>-9406.287109375</v>
      </c>
      <c r="M21">
        <v>-20614.08984375</v>
      </c>
      <c r="N21">
        <v>-4591.4375</v>
      </c>
      <c r="O21">
        <v>-12297.97265625</v>
      </c>
      <c r="P21">
        <v>29785.494140625</v>
      </c>
      <c r="Q21">
        <v>-5015.6201171875</v>
      </c>
    </row>
    <row r="22" spans="1:17" x14ac:dyDescent="0.45">
      <c r="A22">
        <v>21</v>
      </c>
      <c r="B22" s="1">
        <v>41281</v>
      </c>
      <c r="C22" s="2">
        <v>0.4375</v>
      </c>
      <c r="D22">
        <v>-13497.1962890625</v>
      </c>
      <c r="E22">
        <v>-6593.23388671875</v>
      </c>
      <c r="F22">
        <v>-14325.283203125</v>
      </c>
      <c r="G22">
        <v>-19628.244140625</v>
      </c>
      <c r="H22">
        <v>-15185.3369140625</v>
      </c>
      <c r="I22">
        <v>-4788.94189453125</v>
      </c>
      <c r="J22">
        <v>-28876.703125</v>
      </c>
      <c r="K22">
        <v>-37581.41015625</v>
      </c>
      <c r="L22">
        <v>-24830.0078125</v>
      </c>
      <c r="M22">
        <v>-36153.11328125</v>
      </c>
      <c r="N22">
        <v>-5907.84912109375</v>
      </c>
      <c r="O22">
        <v>-20306.552734375</v>
      </c>
      <c r="P22">
        <v>32511.869140625</v>
      </c>
      <c r="Q22">
        <v>-11497.7109375</v>
      </c>
    </row>
    <row r="23" spans="1:17" x14ac:dyDescent="0.45">
      <c r="A23">
        <v>22</v>
      </c>
      <c r="B23" s="1">
        <v>41281</v>
      </c>
      <c r="C23" s="2">
        <v>0.45833333333333331</v>
      </c>
      <c r="D23">
        <v>-24233.53515625</v>
      </c>
      <c r="E23">
        <v>-8322.779296875</v>
      </c>
      <c r="F23">
        <v>-18089.349609375</v>
      </c>
      <c r="G23">
        <v>-32128.07421875</v>
      </c>
      <c r="H23">
        <v>-24890.943359375</v>
      </c>
      <c r="I23">
        <v>-7831.54736328125</v>
      </c>
      <c r="J23">
        <v>-46858.88671875</v>
      </c>
      <c r="K23">
        <v>-54933.60546875</v>
      </c>
      <c r="L23">
        <v>-44886.87109375</v>
      </c>
      <c r="M23">
        <v>-64066.65625</v>
      </c>
      <c r="N23">
        <v>-7628.3876953125</v>
      </c>
      <c r="O23">
        <v>-27554.8984375</v>
      </c>
      <c r="P23">
        <v>31381.6015625</v>
      </c>
      <c r="Q23">
        <v>-20386.583984375</v>
      </c>
    </row>
    <row r="24" spans="1:17" x14ac:dyDescent="0.45">
      <c r="A24">
        <v>23</v>
      </c>
      <c r="B24" s="1">
        <v>41281</v>
      </c>
      <c r="C24" s="2">
        <v>0.47916666666666669</v>
      </c>
      <c r="D24">
        <v>-30167.232421875</v>
      </c>
      <c r="E24">
        <v>-14358.884765625</v>
      </c>
      <c r="F24">
        <v>-23955.00390625</v>
      </c>
      <c r="G24">
        <v>-34586.765625</v>
      </c>
      <c r="H24">
        <v>-36538.65625</v>
      </c>
      <c r="I24">
        <v>-16669.400390625</v>
      </c>
      <c r="J24">
        <v>-62971.0703125</v>
      </c>
      <c r="K24">
        <v>-73553.359375</v>
      </c>
      <c r="L24">
        <v>-59336.88671875</v>
      </c>
      <c r="M24">
        <v>-82162.765625</v>
      </c>
      <c r="N24">
        <v>-11972.9580078125</v>
      </c>
      <c r="O24">
        <v>-46965.5625</v>
      </c>
      <c r="P24">
        <v>32232.486328125</v>
      </c>
      <c r="Q24">
        <v>-25077.60546875</v>
      </c>
    </row>
    <row r="25" spans="1:17" x14ac:dyDescent="0.45">
      <c r="A25">
        <v>24</v>
      </c>
      <c r="B25" s="1">
        <v>41281</v>
      </c>
      <c r="C25" s="2">
        <v>0.5</v>
      </c>
      <c r="D25">
        <v>-30742.009765625</v>
      </c>
      <c r="E25">
        <v>-14412.7109375</v>
      </c>
      <c r="F25">
        <v>-23616.025390625</v>
      </c>
      <c r="G25">
        <v>-33922.6328125</v>
      </c>
      <c r="H25">
        <v>-39780.37890625</v>
      </c>
      <c r="I25">
        <v>-17503.421875</v>
      </c>
      <c r="J25">
        <v>-64672.359375</v>
      </c>
      <c r="K25">
        <v>-70657.2265625</v>
      </c>
      <c r="L25">
        <v>-61878.921875</v>
      </c>
      <c r="M25">
        <v>-82324.09375</v>
      </c>
      <c r="N25">
        <v>-12037.7685546875</v>
      </c>
      <c r="O25">
        <v>-44738.48046875</v>
      </c>
      <c r="P25">
        <v>34858.41015625</v>
      </c>
      <c r="Q25">
        <v>-23017.4453125</v>
      </c>
    </row>
    <row r="26" spans="1:17" x14ac:dyDescent="0.45">
      <c r="A26">
        <v>25</v>
      </c>
      <c r="B26" s="1">
        <v>41281</v>
      </c>
      <c r="C26" s="2">
        <v>0.52083333333333337</v>
      </c>
      <c r="D26">
        <v>-32168.4375</v>
      </c>
      <c r="E26">
        <v>-16456.05859375</v>
      </c>
      <c r="F26">
        <v>-25499.4765625</v>
      </c>
      <c r="G26">
        <v>-31659.890625</v>
      </c>
      <c r="H26">
        <v>-45444.171875</v>
      </c>
      <c r="I26">
        <v>-20061.98046875</v>
      </c>
      <c r="J26">
        <v>-68839.578125</v>
      </c>
      <c r="K26">
        <v>-70891.328125</v>
      </c>
      <c r="L26">
        <v>-65361.78515625</v>
      </c>
      <c r="M26">
        <v>-82152.296875</v>
      </c>
      <c r="N26">
        <v>-11353.5654296875</v>
      </c>
      <c r="O26">
        <v>-50425.70703125</v>
      </c>
      <c r="P26">
        <v>38733.35546875</v>
      </c>
      <c r="Q26">
        <v>-21837.873046875</v>
      </c>
    </row>
    <row r="27" spans="1:17" x14ac:dyDescent="0.45">
      <c r="A27">
        <v>26</v>
      </c>
      <c r="B27" s="1">
        <v>41281</v>
      </c>
      <c r="C27" s="2">
        <v>0.54166666666666663</v>
      </c>
      <c r="D27">
        <v>-35446.90234375</v>
      </c>
      <c r="E27">
        <v>-14544.5615234375</v>
      </c>
      <c r="F27">
        <v>-28403.498046875</v>
      </c>
      <c r="G27">
        <v>-34026.80078125</v>
      </c>
      <c r="H27">
        <v>-46626.25390625</v>
      </c>
      <c r="I27">
        <v>-21918.34765625</v>
      </c>
      <c r="J27">
        <v>-70948.4765625</v>
      </c>
      <c r="K27">
        <v>-73519.953125</v>
      </c>
      <c r="L27">
        <v>-68834.625</v>
      </c>
      <c r="M27">
        <v>-86045.0625</v>
      </c>
      <c r="N27">
        <v>-12812.0234375</v>
      </c>
      <c r="O27">
        <v>-50122.18359375</v>
      </c>
      <c r="P27">
        <v>39913.64453125</v>
      </c>
      <c r="Q27">
        <v>-21194.35546875</v>
      </c>
    </row>
    <row r="28" spans="1:17" x14ac:dyDescent="0.45">
      <c r="A28">
        <v>27</v>
      </c>
      <c r="B28" s="1">
        <v>41281</v>
      </c>
      <c r="C28" s="2">
        <v>0.5625</v>
      </c>
      <c r="D28">
        <v>-38843.12109375</v>
      </c>
      <c r="E28">
        <v>-16135.2607421875</v>
      </c>
      <c r="F28">
        <v>-31253.13671875</v>
      </c>
      <c r="G28">
        <v>-40096.3984375</v>
      </c>
      <c r="H28">
        <v>-49197.68359375</v>
      </c>
      <c r="I28">
        <v>-22026.365234375</v>
      </c>
      <c r="J28">
        <v>-77798.0703125</v>
      </c>
      <c r="K28">
        <v>-74612.6484375</v>
      </c>
      <c r="L28">
        <v>-77312.671875</v>
      </c>
      <c r="M28">
        <v>-90421.9140625</v>
      </c>
      <c r="N28">
        <v>-13946.373046875</v>
      </c>
      <c r="O28">
        <v>-52230.8125</v>
      </c>
      <c r="P28">
        <v>42218.17578125</v>
      </c>
      <c r="Q28">
        <v>-19170.169921875</v>
      </c>
    </row>
    <row r="29" spans="1:17" x14ac:dyDescent="0.45">
      <c r="A29">
        <v>28</v>
      </c>
      <c r="B29" s="1">
        <v>41281</v>
      </c>
      <c r="C29" s="2">
        <v>0.58333333333333337</v>
      </c>
      <c r="D29">
        <v>-33614.38671875</v>
      </c>
      <c r="E29">
        <v>-19971.00390625</v>
      </c>
      <c r="F29">
        <v>-33784.33984375</v>
      </c>
      <c r="G29">
        <v>-35277.390625</v>
      </c>
      <c r="H29">
        <v>-49583.953125</v>
      </c>
      <c r="I29">
        <v>-27419.4375</v>
      </c>
      <c r="J29">
        <v>-78650.25</v>
      </c>
      <c r="K29">
        <v>-84106.03125</v>
      </c>
      <c r="L29">
        <v>-73037.640625</v>
      </c>
      <c r="M29">
        <v>-93100.4609375</v>
      </c>
      <c r="N29">
        <v>-16407.142578125</v>
      </c>
      <c r="O29">
        <v>-63458.5</v>
      </c>
      <c r="P29">
        <v>40981.90234375</v>
      </c>
      <c r="Q29">
        <v>-26478.552734375</v>
      </c>
    </row>
    <row r="30" spans="1:17" x14ac:dyDescent="0.45">
      <c r="A30">
        <v>29</v>
      </c>
      <c r="B30" s="1">
        <v>41281</v>
      </c>
      <c r="C30" s="2">
        <v>0.60416666666666663</v>
      </c>
      <c r="D30">
        <v>-25840.060546875</v>
      </c>
      <c r="E30">
        <v>-21636.98828125</v>
      </c>
      <c r="F30">
        <v>-30134.3359375</v>
      </c>
      <c r="G30">
        <v>-16887.84375</v>
      </c>
      <c r="H30">
        <v>-47500.73828125</v>
      </c>
      <c r="I30">
        <v>-22584.447265625</v>
      </c>
      <c r="J30">
        <v>-69512.109375</v>
      </c>
      <c r="K30">
        <v>-71829.640625</v>
      </c>
      <c r="L30">
        <v>-58745.82421875</v>
      </c>
      <c r="M30">
        <v>-70702.0625</v>
      </c>
      <c r="N30">
        <v>-19047.978515625</v>
      </c>
      <c r="O30">
        <v>-59457.21875</v>
      </c>
      <c r="P30">
        <v>46585.16015625</v>
      </c>
      <c r="Q30">
        <v>-26292.498046875</v>
      </c>
    </row>
    <row r="31" spans="1:17" x14ac:dyDescent="0.45">
      <c r="A31">
        <v>30</v>
      </c>
      <c r="B31" s="1">
        <v>41281</v>
      </c>
      <c r="C31" s="2">
        <v>0.625</v>
      </c>
      <c r="D31">
        <v>-22668.732421875</v>
      </c>
      <c r="E31">
        <v>-19391.962890625</v>
      </c>
      <c r="F31">
        <v>-23613.9453125</v>
      </c>
      <c r="G31">
        <v>-13452.251953125</v>
      </c>
      <c r="H31">
        <v>-43053.93359375</v>
      </c>
      <c r="I31">
        <v>-17521.46875</v>
      </c>
      <c r="J31">
        <v>-60109.953125</v>
      </c>
      <c r="K31">
        <v>-58586.90625</v>
      </c>
      <c r="L31">
        <v>-48503.74609375</v>
      </c>
      <c r="M31">
        <v>-57245.328125</v>
      </c>
      <c r="N31">
        <v>-20607.875</v>
      </c>
      <c r="O31">
        <v>-48571.69921875</v>
      </c>
      <c r="P31">
        <v>48411.71875</v>
      </c>
      <c r="Q31">
        <v>-22369.228515625</v>
      </c>
    </row>
    <row r="32" spans="1:17" x14ac:dyDescent="0.45">
      <c r="A32">
        <v>31</v>
      </c>
      <c r="B32" s="1">
        <v>41281</v>
      </c>
      <c r="C32" s="2">
        <v>0.64583333333333337</v>
      </c>
      <c r="D32">
        <v>-19440.59375</v>
      </c>
      <c r="E32">
        <v>-12089.2802734375</v>
      </c>
      <c r="F32">
        <v>-9354.65234375</v>
      </c>
      <c r="G32">
        <v>-6312.0380859375</v>
      </c>
      <c r="H32">
        <v>-29308.16015625</v>
      </c>
      <c r="I32">
        <v>-14058.7861328125</v>
      </c>
      <c r="J32">
        <v>-32625.580078125</v>
      </c>
      <c r="K32">
        <v>-28348.115234375</v>
      </c>
      <c r="L32">
        <v>-26816.52734375</v>
      </c>
      <c r="M32">
        <v>-31924.328125</v>
      </c>
      <c r="N32">
        <v>-13498.2255859375</v>
      </c>
      <c r="O32">
        <v>-25280.173828125</v>
      </c>
      <c r="P32">
        <v>54132.046875</v>
      </c>
      <c r="Q32">
        <v>-9164.962890625</v>
      </c>
    </row>
    <row r="33" spans="1:17" x14ac:dyDescent="0.45">
      <c r="A33">
        <v>32</v>
      </c>
      <c r="B33" s="1">
        <v>41281</v>
      </c>
      <c r="C33" s="2">
        <v>0.66666666666666663</v>
      </c>
      <c r="D33">
        <v>-13430.8291015625</v>
      </c>
      <c r="E33">
        <v>-2302.60400390625</v>
      </c>
      <c r="F33">
        <v>-1702.98254394531</v>
      </c>
      <c r="G33">
        <v>5704.84423828125</v>
      </c>
      <c r="H33">
        <v>-12669.349609375</v>
      </c>
      <c r="I33">
        <v>-7219.404296875</v>
      </c>
      <c r="J33">
        <v>-11959.0390625</v>
      </c>
      <c r="K33">
        <v>1832.69482421875</v>
      </c>
      <c r="L33">
        <v>577.78564453125</v>
      </c>
      <c r="M33">
        <v>-3298.65258789062</v>
      </c>
      <c r="N33">
        <v>-6490.029296875</v>
      </c>
      <c r="O33">
        <v>-6791.96044921875</v>
      </c>
      <c r="P33">
        <v>56081.6328125</v>
      </c>
      <c r="Q33">
        <v>797.99523925781205</v>
      </c>
    </row>
    <row r="34" spans="1:17" x14ac:dyDescent="0.45">
      <c r="A34">
        <v>33</v>
      </c>
      <c r="B34" s="1">
        <v>41281</v>
      </c>
      <c r="C34" s="2">
        <v>0.6875</v>
      </c>
      <c r="D34">
        <v>-4384.62255859375</v>
      </c>
      <c r="E34">
        <v>8017.62109375</v>
      </c>
      <c r="F34">
        <v>-986.43212890625</v>
      </c>
      <c r="G34">
        <v>9150.8671875</v>
      </c>
      <c r="H34">
        <v>3349.19873046875</v>
      </c>
      <c r="I34">
        <v>-9287.8232421875</v>
      </c>
      <c r="J34">
        <v>6857.59716796875</v>
      </c>
      <c r="K34">
        <v>11318.0361328125</v>
      </c>
      <c r="L34">
        <v>20008.833984375</v>
      </c>
      <c r="M34">
        <v>9767.91796875</v>
      </c>
      <c r="N34">
        <v>-552.17303466796795</v>
      </c>
      <c r="O34">
        <v>6195.99609375</v>
      </c>
      <c r="P34">
        <v>53825.01171875</v>
      </c>
      <c r="Q34">
        <v>11983.8603515625</v>
      </c>
    </row>
    <row r="35" spans="1:17" x14ac:dyDescent="0.45">
      <c r="A35">
        <v>34</v>
      </c>
      <c r="B35" s="1">
        <v>41281</v>
      </c>
      <c r="C35" s="2">
        <v>0.70833333333333337</v>
      </c>
      <c r="D35">
        <v>2131.76000976562</v>
      </c>
      <c r="E35">
        <v>19766.1484375</v>
      </c>
      <c r="F35">
        <v>9327.4306640625</v>
      </c>
      <c r="G35">
        <v>20740.486328125</v>
      </c>
      <c r="H35">
        <v>20147.1328125</v>
      </c>
      <c r="I35">
        <v>2424.47778320312</v>
      </c>
      <c r="J35">
        <v>32705.6328125</v>
      </c>
      <c r="K35">
        <v>29504.51953125</v>
      </c>
      <c r="L35">
        <v>47621.57421875</v>
      </c>
      <c r="M35">
        <v>31994.30859375</v>
      </c>
      <c r="N35">
        <v>7356.3037109375</v>
      </c>
      <c r="O35">
        <v>27989.0234375</v>
      </c>
      <c r="P35">
        <v>50748.33984375</v>
      </c>
      <c r="Q35">
        <v>17829.748046875</v>
      </c>
    </row>
    <row r="36" spans="1:17" x14ac:dyDescent="0.45">
      <c r="A36">
        <v>35</v>
      </c>
      <c r="B36" s="1">
        <v>41281</v>
      </c>
      <c r="C36" s="2">
        <v>0.72916666666666663</v>
      </c>
      <c r="D36">
        <v>17811.6640625</v>
      </c>
      <c r="E36">
        <v>31591.451171875</v>
      </c>
      <c r="F36">
        <v>16871.017578125</v>
      </c>
      <c r="G36">
        <v>33220.296875</v>
      </c>
      <c r="H36">
        <v>39174.1953125</v>
      </c>
      <c r="I36">
        <v>23032.59765625</v>
      </c>
      <c r="J36">
        <v>65208.6015625</v>
      </c>
      <c r="K36">
        <v>61907.49609375</v>
      </c>
      <c r="L36">
        <v>76114.6328125</v>
      </c>
      <c r="M36">
        <v>72186.421875</v>
      </c>
      <c r="N36">
        <v>15836.9794921875</v>
      </c>
      <c r="O36">
        <v>58588.91796875</v>
      </c>
      <c r="P36">
        <v>52306.8125</v>
      </c>
      <c r="Q36">
        <v>24511.916015625</v>
      </c>
    </row>
    <row r="37" spans="1:17" x14ac:dyDescent="0.45">
      <c r="A37">
        <v>36</v>
      </c>
      <c r="B37" s="1">
        <v>41281</v>
      </c>
      <c r="C37" s="2">
        <v>0.75</v>
      </c>
      <c r="D37">
        <v>38151.703125</v>
      </c>
      <c r="E37">
        <v>41113.49609375</v>
      </c>
      <c r="F37">
        <v>35089.90625</v>
      </c>
      <c r="G37">
        <v>46338.10546875</v>
      </c>
      <c r="H37">
        <v>66977.046875</v>
      </c>
      <c r="I37">
        <v>41686.1953125</v>
      </c>
      <c r="J37">
        <v>106745.015625</v>
      </c>
      <c r="K37">
        <v>114916.984375</v>
      </c>
      <c r="L37">
        <v>110645.1796875</v>
      </c>
      <c r="M37">
        <v>130117.609375</v>
      </c>
      <c r="N37">
        <v>26384.23828125</v>
      </c>
      <c r="O37">
        <v>91328.3359375</v>
      </c>
      <c r="P37">
        <v>66442.328125</v>
      </c>
      <c r="Q37">
        <v>44449.0703125</v>
      </c>
    </row>
    <row r="38" spans="1:17" x14ac:dyDescent="0.45">
      <c r="A38">
        <v>37</v>
      </c>
      <c r="B38" s="1">
        <v>41281</v>
      </c>
      <c r="C38" s="2">
        <v>0.77083333333333337</v>
      </c>
      <c r="D38">
        <v>49332.26953125</v>
      </c>
      <c r="E38">
        <v>45574.859375</v>
      </c>
      <c r="F38">
        <v>43543.703125</v>
      </c>
      <c r="G38">
        <v>60313.7578125</v>
      </c>
      <c r="H38">
        <v>84036.2578125</v>
      </c>
      <c r="I38">
        <v>47093.3203125</v>
      </c>
      <c r="J38">
        <v>133615.3125</v>
      </c>
      <c r="K38">
        <v>139653.84375</v>
      </c>
      <c r="L38">
        <v>142171.015625</v>
      </c>
      <c r="M38">
        <v>160871.84375</v>
      </c>
      <c r="N38">
        <v>34580.78125</v>
      </c>
      <c r="O38">
        <v>111073.8984375</v>
      </c>
      <c r="P38">
        <v>61793.203125</v>
      </c>
      <c r="Q38">
        <v>49716.0703125</v>
      </c>
    </row>
    <row r="39" spans="1:17" x14ac:dyDescent="0.45">
      <c r="A39">
        <v>38</v>
      </c>
      <c r="B39" s="1">
        <v>41281</v>
      </c>
      <c r="C39" s="2">
        <v>0.79166666666666663</v>
      </c>
      <c r="D39">
        <v>68534.3671875</v>
      </c>
      <c r="E39">
        <v>41938.30078125</v>
      </c>
      <c r="F39">
        <v>51669.7578125</v>
      </c>
      <c r="G39">
        <v>72196.8359375</v>
      </c>
      <c r="H39">
        <v>88164.5</v>
      </c>
      <c r="I39">
        <v>53514.51953125</v>
      </c>
      <c r="J39">
        <v>156590.734375</v>
      </c>
      <c r="K39">
        <v>148000.375</v>
      </c>
      <c r="L39">
        <v>162680.15625</v>
      </c>
      <c r="M39">
        <v>186958.8125</v>
      </c>
      <c r="N39">
        <v>29553.193359375</v>
      </c>
      <c r="O39">
        <v>122827.578125</v>
      </c>
      <c r="P39">
        <v>55713.68359375</v>
      </c>
      <c r="Q39">
        <v>50056.1328125</v>
      </c>
    </row>
    <row r="40" spans="1:17" x14ac:dyDescent="0.45">
      <c r="A40">
        <v>39</v>
      </c>
      <c r="B40" s="1">
        <v>41281</v>
      </c>
      <c r="C40" s="2">
        <v>0.8125</v>
      </c>
      <c r="D40">
        <v>67550.640625</v>
      </c>
      <c r="E40">
        <v>40313.37890625</v>
      </c>
      <c r="F40">
        <v>49662.80859375</v>
      </c>
      <c r="G40">
        <v>74465.109375</v>
      </c>
      <c r="H40">
        <v>83783.8671875</v>
      </c>
      <c r="I40">
        <v>51318.0859375</v>
      </c>
      <c r="J40">
        <v>152791.796875</v>
      </c>
      <c r="K40">
        <v>149877.453125</v>
      </c>
      <c r="L40">
        <v>159167.125</v>
      </c>
      <c r="M40">
        <v>189905.3125</v>
      </c>
      <c r="N40">
        <v>29281.115234375</v>
      </c>
      <c r="O40">
        <v>118270.203125</v>
      </c>
      <c r="P40">
        <v>56177.81640625</v>
      </c>
      <c r="Q40">
        <v>55251.8515625</v>
      </c>
    </row>
    <row r="41" spans="1:17" x14ac:dyDescent="0.45">
      <c r="A41">
        <v>40</v>
      </c>
      <c r="B41" s="1">
        <v>41281</v>
      </c>
      <c r="C41" s="2">
        <v>0.83333333333333337</v>
      </c>
      <c r="D41">
        <v>62459.68359375</v>
      </c>
      <c r="E41">
        <v>44248.85546875</v>
      </c>
      <c r="F41">
        <v>45645.34375</v>
      </c>
      <c r="G41">
        <v>75451.25</v>
      </c>
      <c r="H41">
        <v>84361.4765625</v>
      </c>
      <c r="I41">
        <v>55402.80859375</v>
      </c>
      <c r="J41">
        <v>146594.34375</v>
      </c>
      <c r="K41">
        <v>155259.453125</v>
      </c>
      <c r="L41">
        <v>153981.6875</v>
      </c>
      <c r="M41">
        <v>193061.65625</v>
      </c>
      <c r="N41">
        <v>29653.841796875</v>
      </c>
      <c r="O41">
        <v>119336.46875</v>
      </c>
      <c r="P41">
        <v>61525.06640625</v>
      </c>
      <c r="Q41">
        <v>58200.80078125</v>
      </c>
    </row>
    <row r="42" spans="1:17" x14ac:dyDescent="0.45">
      <c r="A42">
        <v>41</v>
      </c>
      <c r="B42" s="1">
        <v>41281</v>
      </c>
      <c r="C42" s="2">
        <v>0.85416666666666663</v>
      </c>
      <c r="D42">
        <v>67913.515625</v>
      </c>
      <c r="E42">
        <v>47861.02734375</v>
      </c>
      <c r="F42">
        <v>39122.140625</v>
      </c>
      <c r="G42">
        <v>60830.875</v>
      </c>
      <c r="H42">
        <v>95867.921875</v>
      </c>
      <c r="I42">
        <v>52614.3359375</v>
      </c>
      <c r="J42">
        <v>150663.34375</v>
      </c>
      <c r="K42">
        <v>138153.25</v>
      </c>
      <c r="L42">
        <v>150827.09375</v>
      </c>
      <c r="M42">
        <v>182477.859375</v>
      </c>
      <c r="N42">
        <v>27118.421875</v>
      </c>
      <c r="O42">
        <v>117519.953125</v>
      </c>
      <c r="P42">
        <v>55291.6015625</v>
      </c>
      <c r="Q42">
        <v>53915.4140625</v>
      </c>
    </row>
    <row r="43" spans="1:17" x14ac:dyDescent="0.45">
      <c r="A43">
        <v>42</v>
      </c>
      <c r="B43" s="1">
        <v>41281</v>
      </c>
      <c r="C43" s="2">
        <v>0.875</v>
      </c>
      <c r="D43">
        <v>73027.5390625</v>
      </c>
      <c r="E43">
        <v>52568.421875</v>
      </c>
      <c r="F43">
        <v>40782.6796875</v>
      </c>
      <c r="G43">
        <v>55313.796875</v>
      </c>
      <c r="H43">
        <v>106913.8671875</v>
      </c>
      <c r="I43">
        <v>45384.515625</v>
      </c>
      <c r="J43">
        <v>162973.171875</v>
      </c>
      <c r="K43">
        <v>128971.921875</v>
      </c>
      <c r="L43">
        <v>159265.984375</v>
      </c>
      <c r="M43">
        <v>174821.265625</v>
      </c>
      <c r="N43">
        <v>35043.125</v>
      </c>
      <c r="O43">
        <v>114715.2890625</v>
      </c>
      <c r="P43">
        <v>49487.4921875</v>
      </c>
      <c r="Q43">
        <v>52235.6875</v>
      </c>
    </row>
    <row r="44" spans="1:17" x14ac:dyDescent="0.45">
      <c r="A44">
        <v>43</v>
      </c>
      <c r="B44" s="1">
        <v>41281</v>
      </c>
      <c r="C44" s="2">
        <v>0.89583333333333337</v>
      </c>
      <c r="D44">
        <v>69277.40625</v>
      </c>
      <c r="E44">
        <v>49031.453125</v>
      </c>
      <c r="F44">
        <v>38642.109375</v>
      </c>
      <c r="G44">
        <v>54771.19921875</v>
      </c>
      <c r="H44">
        <v>100757.140625</v>
      </c>
      <c r="I44">
        <v>42582.23046875</v>
      </c>
      <c r="J44">
        <v>153888.859375</v>
      </c>
      <c r="K44">
        <v>127385.5390625</v>
      </c>
      <c r="L44">
        <v>151615.1875</v>
      </c>
      <c r="M44">
        <v>171692.5</v>
      </c>
      <c r="N44">
        <v>32788.3203125</v>
      </c>
      <c r="O44">
        <v>108881.0546875</v>
      </c>
      <c r="P44">
        <v>50696.44921875</v>
      </c>
      <c r="Q44">
        <v>53263.15625</v>
      </c>
    </row>
    <row r="45" spans="1:17" x14ac:dyDescent="0.45">
      <c r="A45">
        <v>44</v>
      </c>
      <c r="B45" s="1">
        <v>41281</v>
      </c>
      <c r="C45" s="2">
        <v>0.91666666666666663</v>
      </c>
      <c r="D45">
        <v>83099.0546875</v>
      </c>
      <c r="E45">
        <v>43836.2890625</v>
      </c>
      <c r="F45">
        <v>40095.87109375</v>
      </c>
      <c r="G45">
        <v>53719.02734375</v>
      </c>
      <c r="H45">
        <v>111720.125</v>
      </c>
      <c r="I45">
        <v>45886.796875</v>
      </c>
      <c r="J45">
        <v>163343.4375</v>
      </c>
      <c r="K45">
        <v>126725.1171875</v>
      </c>
      <c r="L45">
        <v>161779.53125</v>
      </c>
      <c r="M45">
        <v>185271.546875</v>
      </c>
      <c r="N45">
        <v>28686.919921875</v>
      </c>
      <c r="O45">
        <v>109901.296875</v>
      </c>
      <c r="P45">
        <v>47003.4921875</v>
      </c>
      <c r="Q45">
        <v>49577.91796875</v>
      </c>
    </row>
    <row r="46" spans="1:17" x14ac:dyDescent="0.45">
      <c r="A46">
        <v>45</v>
      </c>
      <c r="B46" s="1">
        <v>41281</v>
      </c>
      <c r="C46" s="2">
        <v>0.9375</v>
      </c>
      <c r="D46">
        <v>74450.640625</v>
      </c>
      <c r="E46">
        <v>43728.03125</v>
      </c>
      <c r="F46">
        <v>38015.46875</v>
      </c>
      <c r="G46">
        <v>50639.62109375</v>
      </c>
      <c r="H46">
        <v>104856.4921875</v>
      </c>
      <c r="I46">
        <v>40007.86328125</v>
      </c>
      <c r="J46">
        <v>151779.625</v>
      </c>
      <c r="K46">
        <v>116811.7421875</v>
      </c>
      <c r="L46">
        <v>152502.734375</v>
      </c>
      <c r="M46">
        <v>164056.234375</v>
      </c>
      <c r="N46">
        <v>33062.3203125</v>
      </c>
      <c r="O46">
        <v>100464.09375</v>
      </c>
      <c r="P46">
        <v>42339.2890625</v>
      </c>
      <c r="Q46">
        <v>46163.55859375</v>
      </c>
    </row>
    <row r="47" spans="1:17" x14ac:dyDescent="0.45">
      <c r="A47">
        <v>46</v>
      </c>
      <c r="B47" s="1">
        <v>41281</v>
      </c>
      <c r="C47" s="2">
        <v>0.95833333333333337</v>
      </c>
      <c r="D47">
        <v>61016.421875</v>
      </c>
      <c r="E47">
        <v>34720.90234375</v>
      </c>
      <c r="F47">
        <v>34418.59375</v>
      </c>
      <c r="G47">
        <v>54712.94921875</v>
      </c>
      <c r="H47">
        <v>82257.296875</v>
      </c>
      <c r="I47">
        <v>34348.7734375</v>
      </c>
      <c r="J47">
        <v>128100.015625</v>
      </c>
      <c r="K47">
        <v>109699.15625</v>
      </c>
      <c r="L47">
        <v>131052.078125</v>
      </c>
      <c r="M47">
        <v>150661.65625</v>
      </c>
      <c r="N47">
        <v>28098.78125</v>
      </c>
      <c r="O47">
        <v>84581.28125</v>
      </c>
      <c r="P47">
        <v>44468.890625</v>
      </c>
      <c r="Q47">
        <v>43233.94921875</v>
      </c>
    </row>
    <row r="48" spans="1:17" x14ac:dyDescent="0.45">
      <c r="A48">
        <v>47</v>
      </c>
      <c r="B48" s="1">
        <v>41281</v>
      </c>
      <c r="C48" s="2">
        <v>0.97916666666666663</v>
      </c>
      <c r="D48">
        <v>49661.7421875</v>
      </c>
      <c r="E48">
        <v>34372.21875</v>
      </c>
      <c r="F48">
        <v>31317.61328125</v>
      </c>
      <c r="G48">
        <v>52322.2109375</v>
      </c>
      <c r="H48">
        <v>69714.5078125</v>
      </c>
      <c r="I48">
        <v>25723.134765625</v>
      </c>
      <c r="J48">
        <v>111738.265625</v>
      </c>
      <c r="K48">
        <v>95776.1953125</v>
      </c>
      <c r="L48">
        <v>112994.5</v>
      </c>
      <c r="M48">
        <v>124366.609375</v>
      </c>
      <c r="N48">
        <v>32182.05078125</v>
      </c>
      <c r="O48">
        <v>67321.734375</v>
      </c>
      <c r="P48">
        <v>40447.90625</v>
      </c>
      <c r="Q48">
        <v>36281.7109375</v>
      </c>
    </row>
    <row r="49" spans="1:17" x14ac:dyDescent="0.45">
      <c r="A49">
        <v>48</v>
      </c>
      <c r="B49" s="1">
        <v>41282</v>
      </c>
      <c r="C49" s="2">
        <v>0</v>
      </c>
      <c r="D49">
        <v>44382.77734375</v>
      </c>
      <c r="E49">
        <v>30344.947265625</v>
      </c>
      <c r="F49">
        <v>28734.80859375</v>
      </c>
      <c r="G49">
        <v>44302.13671875</v>
      </c>
      <c r="H49">
        <v>58928.98046875</v>
      </c>
      <c r="I49">
        <v>24820.919921875</v>
      </c>
      <c r="J49">
        <v>100986.96875</v>
      </c>
      <c r="K49">
        <v>84672.1640625</v>
      </c>
      <c r="L49">
        <v>101302.3125</v>
      </c>
      <c r="M49">
        <v>110793.9609375</v>
      </c>
      <c r="N49">
        <v>26660.33203125</v>
      </c>
      <c r="O49">
        <v>63650.3828125</v>
      </c>
      <c r="P49">
        <v>33798.24609375</v>
      </c>
      <c r="Q49">
        <v>33910.859375</v>
      </c>
    </row>
    <row r="50" spans="1:17" x14ac:dyDescent="0.45">
      <c r="A50">
        <v>49</v>
      </c>
      <c r="B50" s="1">
        <v>41282</v>
      </c>
      <c r="C50" s="2">
        <v>2.0833333333333332E-2</v>
      </c>
      <c r="D50">
        <v>47060.5390625</v>
      </c>
      <c r="E50">
        <v>27296.84375</v>
      </c>
      <c r="F50">
        <v>24540.0078125</v>
      </c>
      <c r="G50">
        <v>48208.828125</v>
      </c>
      <c r="H50">
        <v>52329.7421875</v>
      </c>
      <c r="I50">
        <v>27887.14453125</v>
      </c>
      <c r="J50">
        <v>96305.9921875</v>
      </c>
      <c r="K50">
        <v>80966.8828125</v>
      </c>
      <c r="L50">
        <v>97395.59375</v>
      </c>
      <c r="M50">
        <v>110755.671875</v>
      </c>
      <c r="N50">
        <v>24056.216796875</v>
      </c>
      <c r="O50">
        <v>60621.5390625</v>
      </c>
      <c r="P50">
        <v>31301.5859375</v>
      </c>
      <c r="Q50">
        <v>28879.30859375</v>
      </c>
    </row>
    <row r="51" spans="1:17" x14ac:dyDescent="0.45">
      <c r="A51">
        <v>50</v>
      </c>
      <c r="B51" s="1">
        <v>41282</v>
      </c>
      <c r="C51" s="2">
        <v>4.1666666666666664E-2</v>
      </c>
      <c r="D51">
        <v>44244.55078125</v>
      </c>
      <c r="E51">
        <v>22218.744140625</v>
      </c>
      <c r="F51">
        <v>23031.265625</v>
      </c>
      <c r="G51">
        <v>40716.5859375</v>
      </c>
      <c r="H51">
        <v>48244.84375</v>
      </c>
      <c r="I51">
        <v>27167.353515625</v>
      </c>
      <c r="J51">
        <v>86854.265625</v>
      </c>
      <c r="K51">
        <v>75278.8828125</v>
      </c>
      <c r="L51">
        <v>85492.9453125</v>
      </c>
      <c r="M51">
        <v>101386.1328125</v>
      </c>
      <c r="N51">
        <v>19189.9921875</v>
      </c>
      <c r="O51">
        <v>58035.71875</v>
      </c>
      <c r="P51">
        <v>27008.599609375</v>
      </c>
      <c r="Q51">
        <v>25813.806640625</v>
      </c>
    </row>
    <row r="52" spans="1:17" x14ac:dyDescent="0.45">
      <c r="A52">
        <v>51</v>
      </c>
      <c r="B52" s="1">
        <v>41282</v>
      </c>
      <c r="C52" s="2">
        <v>6.25E-2</v>
      </c>
      <c r="D52">
        <v>37429.90625</v>
      </c>
      <c r="E52">
        <v>16422.611328125</v>
      </c>
      <c r="F52">
        <v>21518.255859375</v>
      </c>
      <c r="G52">
        <v>34889.2421875</v>
      </c>
      <c r="H52">
        <v>40822.734375</v>
      </c>
      <c r="I52">
        <v>22044.3046875</v>
      </c>
      <c r="J52">
        <v>74157.2578125</v>
      </c>
      <c r="K52">
        <v>69974.9921875</v>
      </c>
      <c r="L52">
        <v>73187.90625</v>
      </c>
      <c r="M52">
        <v>91698.0625</v>
      </c>
      <c r="N52">
        <v>15446.826171875</v>
      </c>
      <c r="O52">
        <v>48853.71484375</v>
      </c>
      <c r="P52">
        <v>27666.740234375</v>
      </c>
      <c r="Q52">
        <v>27074.72265625</v>
      </c>
    </row>
    <row r="53" spans="1:17" x14ac:dyDescent="0.45">
      <c r="A53">
        <v>52</v>
      </c>
      <c r="B53" s="1">
        <v>41282</v>
      </c>
      <c r="C53" s="2">
        <v>8.3333333333333329E-2</v>
      </c>
      <c r="D53">
        <v>34307.96875</v>
      </c>
      <c r="E53">
        <v>16165.2255859375</v>
      </c>
      <c r="F53">
        <v>21228.38671875</v>
      </c>
      <c r="G53">
        <v>29367.095703125</v>
      </c>
      <c r="H53">
        <v>39572.24609375</v>
      </c>
      <c r="I53">
        <v>22188.228515625</v>
      </c>
      <c r="J53">
        <v>68948.5546875</v>
      </c>
      <c r="K53">
        <v>65294.26953125</v>
      </c>
      <c r="L53">
        <v>67637.578125</v>
      </c>
      <c r="M53">
        <v>83867.984375</v>
      </c>
      <c r="N53">
        <v>13624.9599609375</v>
      </c>
      <c r="O53">
        <v>50116.94921875</v>
      </c>
      <c r="P53">
        <v>22665.220703125</v>
      </c>
      <c r="Q53">
        <v>24526.19921875</v>
      </c>
    </row>
    <row r="54" spans="1:17" x14ac:dyDescent="0.45">
      <c r="A54">
        <v>53</v>
      </c>
      <c r="B54" s="1">
        <v>41282</v>
      </c>
      <c r="C54" s="2">
        <v>0.10416666666666667</v>
      </c>
      <c r="D54">
        <v>34475.50390625</v>
      </c>
      <c r="E54">
        <v>15258.1083984375</v>
      </c>
      <c r="F54">
        <v>21178.0546875</v>
      </c>
      <c r="G54">
        <v>30655.533203125</v>
      </c>
      <c r="H54">
        <v>38920.43359375</v>
      </c>
      <c r="I54">
        <v>25052.88671875</v>
      </c>
      <c r="J54">
        <v>70042.2109375</v>
      </c>
      <c r="K54">
        <v>70963.3046875</v>
      </c>
      <c r="L54">
        <v>68404.65625</v>
      </c>
      <c r="M54">
        <v>90899.734375</v>
      </c>
      <c r="N54">
        <v>13696.2734375</v>
      </c>
      <c r="O54">
        <v>55065.75390625</v>
      </c>
      <c r="P54">
        <v>23761.7890625</v>
      </c>
      <c r="Q54">
        <v>27428.84375</v>
      </c>
    </row>
    <row r="55" spans="1:17" x14ac:dyDescent="0.45">
      <c r="A55">
        <v>54</v>
      </c>
      <c r="B55" s="1">
        <v>41282</v>
      </c>
      <c r="C55" s="2">
        <v>0.125</v>
      </c>
      <c r="D55">
        <v>32897.29296875</v>
      </c>
      <c r="E55">
        <v>15478.857421875</v>
      </c>
      <c r="F55">
        <v>19757.392578125</v>
      </c>
      <c r="G55">
        <v>28235.044921875</v>
      </c>
      <c r="H55">
        <v>38053.3359375</v>
      </c>
      <c r="I55">
        <v>24442.798828125</v>
      </c>
      <c r="J55">
        <v>66101.0078125</v>
      </c>
      <c r="K55">
        <v>68084.296875</v>
      </c>
      <c r="L55">
        <v>65495.88671875</v>
      </c>
      <c r="M55">
        <v>86124.828125</v>
      </c>
      <c r="N55">
        <v>13458.2041015625</v>
      </c>
      <c r="O55">
        <v>54081.43359375</v>
      </c>
      <c r="P55">
        <v>20865.083984375</v>
      </c>
      <c r="Q55">
        <v>25594.251953125</v>
      </c>
    </row>
    <row r="56" spans="1:17" x14ac:dyDescent="0.45">
      <c r="A56">
        <v>55</v>
      </c>
      <c r="B56" s="1">
        <v>41282</v>
      </c>
      <c r="C56" s="2">
        <v>0.14583333333333334</v>
      </c>
      <c r="D56">
        <v>33542.0390625</v>
      </c>
      <c r="E56">
        <v>15549.134765625</v>
      </c>
      <c r="F56">
        <v>19939.185546875</v>
      </c>
      <c r="G56">
        <v>31980.046875</v>
      </c>
      <c r="H56">
        <v>37709.1796875</v>
      </c>
      <c r="I56">
        <v>23828.455078125</v>
      </c>
      <c r="J56">
        <v>67029.34375</v>
      </c>
      <c r="K56">
        <v>70593.1328125</v>
      </c>
      <c r="L56">
        <v>67730.375</v>
      </c>
      <c r="M56">
        <v>89742.78125</v>
      </c>
      <c r="N56">
        <v>13512.23046875</v>
      </c>
      <c r="O56">
        <v>51790.69921875</v>
      </c>
      <c r="P56">
        <v>24906.025390625</v>
      </c>
      <c r="Q56">
        <v>27354.818359375</v>
      </c>
    </row>
    <row r="57" spans="1:17" x14ac:dyDescent="0.45">
      <c r="A57">
        <v>56</v>
      </c>
      <c r="B57" s="1">
        <v>41282</v>
      </c>
      <c r="C57" s="2">
        <v>0.16666666666666666</v>
      </c>
      <c r="D57">
        <v>37402.078125</v>
      </c>
      <c r="E57">
        <v>14907.6845703125</v>
      </c>
      <c r="F57">
        <v>19747.685546875</v>
      </c>
      <c r="G57">
        <v>36679.50390625</v>
      </c>
      <c r="H57">
        <v>38333.85546875</v>
      </c>
      <c r="I57">
        <v>19219.6015625</v>
      </c>
      <c r="J57">
        <v>71501.0390625</v>
      </c>
      <c r="K57">
        <v>63399.44140625</v>
      </c>
      <c r="L57">
        <v>73646.2109375</v>
      </c>
      <c r="M57">
        <v>87644.828125</v>
      </c>
      <c r="N57">
        <v>13816.314453125</v>
      </c>
      <c r="O57">
        <v>46525.03515625</v>
      </c>
      <c r="P57">
        <v>21551.33203125</v>
      </c>
      <c r="Q57">
        <v>23671.65234375</v>
      </c>
    </row>
    <row r="58" spans="1:17" x14ac:dyDescent="0.45">
      <c r="A58">
        <v>57</v>
      </c>
      <c r="B58" s="1">
        <v>41282</v>
      </c>
      <c r="C58" s="2">
        <v>0.1875</v>
      </c>
      <c r="D58">
        <v>37075.89453125</v>
      </c>
      <c r="E58">
        <v>14986.880859375</v>
      </c>
      <c r="F58">
        <v>21780.978515625</v>
      </c>
      <c r="G58">
        <v>34080.54296875</v>
      </c>
      <c r="H58">
        <v>39674.109375</v>
      </c>
      <c r="I58">
        <v>18153.578125</v>
      </c>
      <c r="J58">
        <v>72598.9453125</v>
      </c>
      <c r="K58">
        <v>64725.09765625</v>
      </c>
      <c r="L58">
        <v>71861.53125</v>
      </c>
      <c r="M58">
        <v>85240.796875</v>
      </c>
      <c r="N58">
        <v>14492.53125</v>
      </c>
      <c r="O58">
        <v>49027.8203125</v>
      </c>
      <c r="P58">
        <v>22437.4765625</v>
      </c>
      <c r="Q58">
        <v>25236.14453125</v>
      </c>
    </row>
    <row r="59" spans="1:17" x14ac:dyDescent="0.45">
      <c r="A59">
        <v>58</v>
      </c>
      <c r="B59" s="1">
        <v>41282</v>
      </c>
      <c r="C59" s="2">
        <v>0.20833333333333334</v>
      </c>
      <c r="D59">
        <v>38158.0546875</v>
      </c>
      <c r="E59">
        <v>15178.7861328125</v>
      </c>
      <c r="F59">
        <v>19570.529296875</v>
      </c>
      <c r="G59">
        <v>35098.98828125</v>
      </c>
      <c r="H59">
        <v>37770.76953125</v>
      </c>
      <c r="I59">
        <v>18013.556640625</v>
      </c>
      <c r="J59">
        <v>72330.875</v>
      </c>
      <c r="K59">
        <v>62054.13671875</v>
      </c>
      <c r="L59">
        <v>71543.453125</v>
      </c>
      <c r="M59">
        <v>85848.9453125</v>
      </c>
      <c r="N59">
        <v>13544.232421875</v>
      </c>
      <c r="O59">
        <v>45614.703125</v>
      </c>
      <c r="P59">
        <v>21665.287109375</v>
      </c>
      <c r="Q59">
        <v>23545.58984375</v>
      </c>
    </row>
    <row r="60" spans="1:17" x14ac:dyDescent="0.45">
      <c r="A60">
        <v>59</v>
      </c>
      <c r="B60" s="1">
        <v>41282</v>
      </c>
      <c r="C60" s="2">
        <v>0.22916666666666666</v>
      </c>
      <c r="D60">
        <v>36710.78125</v>
      </c>
      <c r="E60">
        <v>16917.568359375</v>
      </c>
      <c r="F60">
        <v>18260.41796875</v>
      </c>
      <c r="G60">
        <v>34450.7421875</v>
      </c>
      <c r="H60">
        <v>39945.70703125</v>
      </c>
      <c r="I60">
        <v>18121.56640625</v>
      </c>
      <c r="J60">
        <v>71688.71875</v>
      </c>
      <c r="K60">
        <v>60613.640625</v>
      </c>
      <c r="L60">
        <v>72659.7578125</v>
      </c>
      <c r="M60">
        <v>84784.6875</v>
      </c>
      <c r="N60">
        <v>14924.6630859375</v>
      </c>
      <c r="O60">
        <v>44751.73828125</v>
      </c>
      <c r="P60">
        <v>22111.40625</v>
      </c>
      <c r="Q60">
        <v>23893.8671875</v>
      </c>
    </row>
    <row r="61" spans="1:17" x14ac:dyDescent="0.45">
      <c r="A61">
        <v>60</v>
      </c>
      <c r="B61" s="1">
        <v>41282</v>
      </c>
      <c r="C61" s="2">
        <v>0.25</v>
      </c>
      <c r="D61">
        <v>41361.9375</v>
      </c>
      <c r="E61">
        <v>18658.296875</v>
      </c>
      <c r="F61">
        <v>18016.9921875</v>
      </c>
      <c r="G61">
        <v>35198.88671875</v>
      </c>
      <c r="H61">
        <v>45694.8515625</v>
      </c>
      <c r="I61">
        <v>17995.509765625</v>
      </c>
      <c r="J61">
        <v>76291.7265625</v>
      </c>
      <c r="K61">
        <v>60399.5625</v>
      </c>
      <c r="L61">
        <v>78967.2265625</v>
      </c>
      <c r="M61">
        <v>87995.15625</v>
      </c>
      <c r="N61">
        <v>16045.0107421875</v>
      </c>
      <c r="O61">
        <v>44975.0703125</v>
      </c>
      <c r="P61">
        <v>22445.166015625</v>
      </c>
      <c r="Q61">
        <v>23401.56640625</v>
      </c>
    </row>
    <row r="62" spans="1:17" x14ac:dyDescent="0.45">
      <c r="A62">
        <v>61</v>
      </c>
      <c r="B62" s="1">
        <v>41282</v>
      </c>
      <c r="C62" s="2">
        <v>0.27083333333333331</v>
      </c>
      <c r="D62">
        <v>37148.921875</v>
      </c>
      <c r="E62">
        <v>21264.453125</v>
      </c>
      <c r="F62">
        <v>20082.32421875</v>
      </c>
      <c r="G62">
        <v>31457.765625</v>
      </c>
      <c r="H62">
        <v>48776.71875</v>
      </c>
      <c r="I62">
        <v>18115.4921875</v>
      </c>
      <c r="J62">
        <v>77250.4375</v>
      </c>
      <c r="K62">
        <v>60417.08203125</v>
      </c>
      <c r="L62">
        <v>79030.953125</v>
      </c>
      <c r="M62">
        <v>86998.7734375</v>
      </c>
      <c r="N62">
        <v>15666.41015625</v>
      </c>
      <c r="O62">
        <v>48129.67578125</v>
      </c>
      <c r="P62">
        <v>26379.66015625</v>
      </c>
      <c r="Q62">
        <v>25436.9375</v>
      </c>
    </row>
    <row r="63" spans="1:17" x14ac:dyDescent="0.45">
      <c r="A63">
        <v>62</v>
      </c>
      <c r="B63" s="1">
        <v>41282</v>
      </c>
      <c r="C63" s="2">
        <v>0.29166666666666669</v>
      </c>
      <c r="D63">
        <v>35009.875</v>
      </c>
      <c r="E63">
        <v>20886.267578125</v>
      </c>
      <c r="F63">
        <v>22059.0703125</v>
      </c>
      <c r="G63">
        <v>27766.759765625</v>
      </c>
      <c r="H63">
        <v>48218.828125</v>
      </c>
      <c r="I63">
        <v>19077.751953125</v>
      </c>
      <c r="J63">
        <v>75615.671875</v>
      </c>
      <c r="K63">
        <v>64789.10546875</v>
      </c>
      <c r="L63">
        <v>76152.5234375</v>
      </c>
      <c r="M63">
        <v>85510.8203125</v>
      </c>
      <c r="N63">
        <v>17331.4140625</v>
      </c>
      <c r="O63">
        <v>50196.18359375</v>
      </c>
      <c r="P63">
        <v>30977.537109375</v>
      </c>
      <c r="Q63">
        <v>28933.330078125</v>
      </c>
    </row>
    <row r="64" spans="1:17" x14ac:dyDescent="0.45">
      <c r="A64">
        <v>63</v>
      </c>
      <c r="B64" s="1">
        <v>41282</v>
      </c>
      <c r="C64" s="2">
        <v>0.3125</v>
      </c>
      <c r="D64">
        <v>33131.96484375</v>
      </c>
      <c r="E64">
        <v>18715.591796875</v>
      </c>
      <c r="F64">
        <v>18493.57421875</v>
      </c>
      <c r="G64">
        <v>20514.5546875</v>
      </c>
      <c r="H64">
        <v>44219.53515625</v>
      </c>
      <c r="I64">
        <v>19601.88671875</v>
      </c>
      <c r="J64">
        <v>66115.0703125</v>
      </c>
      <c r="K64">
        <v>53665.15625</v>
      </c>
      <c r="L64">
        <v>65590.984375</v>
      </c>
      <c r="M64">
        <v>73526.578125</v>
      </c>
      <c r="N64">
        <v>14509.33203125</v>
      </c>
      <c r="O64">
        <v>45748.765625</v>
      </c>
      <c r="P64">
        <v>29555.228515625</v>
      </c>
      <c r="Q64">
        <v>22665.31640625</v>
      </c>
    </row>
    <row r="65" spans="1:17" x14ac:dyDescent="0.45">
      <c r="A65">
        <v>64</v>
      </c>
      <c r="B65" s="1">
        <v>41282</v>
      </c>
      <c r="C65" s="2">
        <v>0.33333333333333331</v>
      </c>
      <c r="D65">
        <v>24985.841796875</v>
      </c>
      <c r="E65">
        <v>17473.46875</v>
      </c>
      <c r="F65">
        <v>14774.9033203125</v>
      </c>
      <c r="G65">
        <v>11023.412109375</v>
      </c>
      <c r="H65">
        <v>36570.9609375</v>
      </c>
      <c r="I65">
        <v>18655.669921875</v>
      </c>
      <c r="J65">
        <v>53496.48828125</v>
      </c>
      <c r="K65">
        <v>47302.89453125</v>
      </c>
      <c r="L65">
        <v>50926.390625</v>
      </c>
      <c r="M65">
        <v>60851.96875</v>
      </c>
      <c r="N65">
        <v>11427.9375</v>
      </c>
      <c r="O65">
        <v>41067.23828125</v>
      </c>
      <c r="P65">
        <v>37651.36328125</v>
      </c>
      <c r="Q65">
        <v>23421.55078125</v>
      </c>
    </row>
    <row r="66" spans="1:17" x14ac:dyDescent="0.45">
      <c r="A66">
        <v>65</v>
      </c>
      <c r="B66" s="1">
        <v>41282</v>
      </c>
      <c r="C66" s="2">
        <v>0.35416666666666669</v>
      </c>
      <c r="D66">
        <v>25324.00390625</v>
      </c>
      <c r="E66">
        <v>16636.669921875</v>
      </c>
      <c r="F66">
        <v>10710.306640625</v>
      </c>
      <c r="G66">
        <v>14346.5205078125</v>
      </c>
      <c r="H66">
        <v>32893.80859375</v>
      </c>
      <c r="I66">
        <v>17593.474609375</v>
      </c>
      <c r="J66">
        <v>51540.02734375</v>
      </c>
      <c r="K66">
        <v>35262.58203125</v>
      </c>
      <c r="L66">
        <v>52104.1015625</v>
      </c>
      <c r="M66">
        <v>53362.5390625</v>
      </c>
      <c r="N66">
        <v>11609.62890625</v>
      </c>
      <c r="O66">
        <v>34747.2109375</v>
      </c>
      <c r="P66">
        <v>35891.3984375</v>
      </c>
      <c r="Q66">
        <v>16249.2392578125</v>
      </c>
    </row>
    <row r="67" spans="1:17" x14ac:dyDescent="0.45">
      <c r="A67">
        <v>66</v>
      </c>
      <c r="B67" s="1">
        <v>41282</v>
      </c>
      <c r="C67" s="2">
        <v>0.375</v>
      </c>
      <c r="D67">
        <v>14868.6640625</v>
      </c>
      <c r="E67">
        <v>13585.115234375</v>
      </c>
      <c r="F67">
        <v>4151.9248046875</v>
      </c>
      <c r="G67">
        <v>3716.32446289062</v>
      </c>
      <c r="H67">
        <v>24810.8515625</v>
      </c>
      <c r="I67">
        <v>13032.55859375</v>
      </c>
      <c r="J67">
        <v>31973.44921875</v>
      </c>
      <c r="K67">
        <v>23158.978515625</v>
      </c>
      <c r="L67">
        <v>35022.4921875</v>
      </c>
      <c r="M67">
        <v>35789.02734375</v>
      </c>
      <c r="N67">
        <v>9486.9677734375</v>
      </c>
      <c r="O67">
        <v>25682.28125</v>
      </c>
      <c r="P67">
        <v>40629.85546875</v>
      </c>
      <c r="Q67">
        <v>16337.26953125</v>
      </c>
    </row>
    <row r="68" spans="1:17" x14ac:dyDescent="0.45">
      <c r="A68">
        <v>67</v>
      </c>
      <c r="B68" s="1">
        <v>41282</v>
      </c>
      <c r="C68" s="2">
        <v>0.39583333333333331</v>
      </c>
      <c r="D68">
        <v>8366.9052734375</v>
      </c>
      <c r="E68">
        <v>7884.93115234375</v>
      </c>
      <c r="F68">
        <v>2047.25720214843</v>
      </c>
      <c r="G68">
        <v>-2274.69384765625</v>
      </c>
      <c r="H68">
        <v>13306.6474609375</v>
      </c>
      <c r="I68">
        <v>9627.9013671875</v>
      </c>
      <c r="J68">
        <v>18258.2578125</v>
      </c>
      <c r="K68">
        <v>-812.28997802734295</v>
      </c>
      <c r="L68">
        <v>20178.900390625</v>
      </c>
      <c r="M68">
        <v>10170.0087890625</v>
      </c>
      <c r="N68">
        <v>2276.71240234375</v>
      </c>
      <c r="O68">
        <v>17367.607421875</v>
      </c>
      <c r="P68">
        <v>35610.65234375</v>
      </c>
      <c r="Q68">
        <v>3050.98510742187</v>
      </c>
    </row>
    <row r="69" spans="1:17" x14ac:dyDescent="0.45">
      <c r="A69">
        <v>68</v>
      </c>
      <c r="B69" s="1">
        <v>41282</v>
      </c>
      <c r="C69" s="2">
        <v>0.41666666666666669</v>
      </c>
      <c r="D69">
        <v>-438.21224975585898</v>
      </c>
      <c r="E69">
        <v>12866.927734375</v>
      </c>
      <c r="F69">
        <v>-3829.46899414062</v>
      </c>
      <c r="G69">
        <v>-9154.9130859375</v>
      </c>
      <c r="H69">
        <v>9455.3818359375</v>
      </c>
      <c r="I69">
        <v>-276.05450439453102</v>
      </c>
      <c r="J69">
        <v>10430.3564453125</v>
      </c>
      <c r="K69">
        <v>-11498.1044921875</v>
      </c>
      <c r="L69">
        <v>10458.541015625</v>
      </c>
      <c r="M69">
        <v>-7663.51220703125</v>
      </c>
      <c r="N69">
        <v>1537.99108886718</v>
      </c>
      <c r="O69">
        <v>7006.26318359375</v>
      </c>
      <c r="P69">
        <v>44256.7578125</v>
      </c>
      <c r="Q69">
        <v>2352.76000976562</v>
      </c>
    </row>
    <row r="70" spans="1:17" x14ac:dyDescent="0.45">
      <c r="A70">
        <v>69</v>
      </c>
      <c r="B70" s="1">
        <v>41282</v>
      </c>
      <c r="C70" s="2">
        <v>0.4375</v>
      </c>
      <c r="D70">
        <v>18656.033203125</v>
      </c>
      <c r="E70">
        <v>24141.318359375</v>
      </c>
      <c r="F70">
        <v>-3579.76025390625</v>
      </c>
      <c r="G70">
        <v>-3857.17358398437</v>
      </c>
      <c r="H70">
        <v>33137.53125</v>
      </c>
      <c r="I70">
        <v>-412.08151245117102</v>
      </c>
      <c r="J70">
        <v>42341.859375</v>
      </c>
      <c r="K70">
        <v>-5273.88232421875</v>
      </c>
      <c r="L70">
        <v>39501.609375</v>
      </c>
      <c r="M70">
        <v>16035.171875</v>
      </c>
      <c r="N70">
        <v>9797.06640625</v>
      </c>
      <c r="O70">
        <v>13068.21875</v>
      </c>
      <c r="P70">
        <v>47297.5078125</v>
      </c>
      <c r="Q70">
        <v>6552.1142578125</v>
      </c>
    </row>
    <row r="71" spans="1:17" x14ac:dyDescent="0.45">
      <c r="A71">
        <v>70</v>
      </c>
      <c r="B71" s="1">
        <v>41282</v>
      </c>
      <c r="C71" s="2">
        <v>0.45833333333333331</v>
      </c>
      <c r="D71">
        <v>18562.537109375</v>
      </c>
      <c r="E71">
        <v>25507.208984375</v>
      </c>
      <c r="F71">
        <v>-2448.95458984375</v>
      </c>
      <c r="G71">
        <v>-2386.75634765625</v>
      </c>
      <c r="H71">
        <v>33980.73828125</v>
      </c>
      <c r="I71">
        <v>-1220.24243164062</v>
      </c>
      <c r="J71">
        <v>45078.5078125</v>
      </c>
      <c r="K71">
        <v>-7171.705078125</v>
      </c>
      <c r="L71">
        <v>43376.54296875</v>
      </c>
      <c r="M71">
        <v>15547.0546875</v>
      </c>
      <c r="N71">
        <v>7950.48681640625</v>
      </c>
      <c r="O71">
        <v>15347.7275390625</v>
      </c>
      <c r="P71">
        <v>50080.13671875</v>
      </c>
      <c r="Q71">
        <v>8544.9619140625</v>
      </c>
    </row>
    <row r="72" spans="1:17" x14ac:dyDescent="0.45">
      <c r="A72">
        <v>71</v>
      </c>
      <c r="B72" s="1">
        <v>41282</v>
      </c>
      <c r="C72" s="2">
        <v>0.47916666666666669</v>
      </c>
      <c r="D72">
        <v>23301.71875</v>
      </c>
      <c r="E72">
        <v>29997.736328125</v>
      </c>
      <c r="F72">
        <v>-9906.302734375</v>
      </c>
      <c r="G72">
        <v>3415.0693359375</v>
      </c>
      <c r="H72">
        <v>42895.2578125</v>
      </c>
      <c r="I72">
        <v>-1184.23400878906</v>
      </c>
      <c r="J72">
        <v>48985.40625</v>
      </c>
      <c r="K72">
        <v>446.15927124023398</v>
      </c>
      <c r="L72">
        <v>58788.33984375</v>
      </c>
      <c r="M72">
        <v>34432.8046875</v>
      </c>
      <c r="N72">
        <v>9865.0849609375</v>
      </c>
      <c r="O72">
        <v>15545.0263671875</v>
      </c>
      <c r="P72">
        <v>59362.484375</v>
      </c>
      <c r="Q72">
        <v>14784.7802734375</v>
      </c>
    </row>
    <row r="73" spans="1:17" x14ac:dyDescent="0.45">
      <c r="A73">
        <v>72</v>
      </c>
      <c r="B73" s="1">
        <v>41282</v>
      </c>
      <c r="C73" s="2">
        <v>0.5</v>
      </c>
      <c r="D73">
        <v>24070.7578125</v>
      </c>
      <c r="E73">
        <v>25698.072265625</v>
      </c>
      <c r="F73">
        <v>-14778.490234375</v>
      </c>
      <c r="G73">
        <v>6197.93896484375</v>
      </c>
      <c r="H73">
        <v>34469.60546875</v>
      </c>
      <c r="I73">
        <v>-3230.63696289062</v>
      </c>
      <c r="J73">
        <v>41099.60546875</v>
      </c>
      <c r="K73">
        <v>-1316.46997070312</v>
      </c>
      <c r="L73">
        <v>53819.0390625</v>
      </c>
      <c r="M73">
        <v>35386.9765625</v>
      </c>
      <c r="N73">
        <v>1811.72875976562</v>
      </c>
      <c r="O73">
        <v>14310.2724609375</v>
      </c>
      <c r="P73">
        <v>61554.44140625</v>
      </c>
      <c r="Q73">
        <v>13607.2392578125</v>
      </c>
    </row>
    <row r="74" spans="1:17" x14ac:dyDescent="0.45">
      <c r="A74">
        <v>73</v>
      </c>
      <c r="B74" s="1">
        <v>41282</v>
      </c>
      <c r="C74" s="2">
        <v>0.52083333333333337</v>
      </c>
      <c r="D74">
        <v>26081.599609375</v>
      </c>
      <c r="E74">
        <v>41051.6484375</v>
      </c>
      <c r="F74">
        <v>-15137.8671875</v>
      </c>
      <c r="G74">
        <v>9580.9609375</v>
      </c>
      <c r="H74">
        <v>44915.765625</v>
      </c>
      <c r="I74">
        <v>3420.67602539062</v>
      </c>
      <c r="J74">
        <v>57435.390625</v>
      </c>
      <c r="K74">
        <v>5870.09423828125</v>
      </c>
      <c r="L74">
        <v>68820.6484375</v>
      </c>
      <c r="M74">
        <v>45804.515625</v>
      </c>
      <c r="N74">
        <v>7426.32421875</v>
      </c>
      <c r="O74">
        <v>28161.083984375</v>
      </c>
      <c r="P74">
        <v>76664.75</v>
      </c>
      <c r="Q74">
        <v>17729.720703125</v>
      </c>
    </row>
    <row r="75" spans="1:17" x14ac:dyDescent="0.45">
      <c r="A75">
        <v>74</v>
      </c>
      <c r="B75" s="1">
        <v>41282</v>
      </c>
      <c r="C75" s="2">
        <v>0.54166666666666663</v>
      </c>
      <c r="D75">
        <v>28708.873046875</v>
      </c>
      <c r="E75">
        <v>52095.2421875</v>
      </c>
      <c r="F75">
        <v>-9508.666015625</v>
      </c>
      <c r="G75">
        <v>22496.845703125</v>
      </c>
      <c r="H75">
        <v>56540.53515625</v>
      </c>
      <c r="I75">
        <v>4256.8408203125</v>
      </c>
      <c r="J75">
        <v>80046.7265625</v>
      </c>
      <c r="K75">
        <v>8521.041015625</v>
      </c>
      <c r="L75">
        <v>92780.59375</v>
      </c>
      <c r="M75">
        <v>55386.92578125</v>
      </c>
      <c r="N75">
        <v>9338.9267578125</v>
      </c>
      <c r="O75">
        <v>41375.3515625</v>
      </c>
      <c r="P75">
        <v>77342.84375</v>
      </c>
      <c r="Q75">
        <v>15004.8427734375</v>
      </c>
    </row>
    <row r="76" spans="1:17" x14ac:dyDescent="0.45">
      <c r="A76">
        <v>75</v>
      </c>
      <c r="B76" s="1">
        <v>41282</v>
      </c>
      <c r="C76" s="2">
        <v>0.5625</v>
      </c>
      <c r="D76">
        <v>28271.013671875</v>
      </c>
      <c r="E76">
        <v>56963.77734375</v>
      </c>
      <c r="F76">
        <v>-3840.20947265625</v>
      </c>
      <c r="G76">
        <v>26687.8203125</v>
      </c>
      <c r="H76">
        <v>59125.11328125</v>
      </c>
      <c r="I76">
        <v>8293.6142578125</v>
      </c>
      <c r="J76">
        <v>87698.234375</v>
      </c>
      <c r="K76">
        <v>8701.103515625</v>
      </c>
      <c r="L76">
        <v>99956.3671875</v>
      </c>
      <c r="M76">
        <v>53340.49609375</v>
      </c>
      <c r="N76">
        <v>17249.578125</v>
      </c>
      <c r="O76">
        <v>41813.74609375</v>
      </c>
      <c r="P76">
        <v>79165.328125</v>
      </c>
      <c r="Q76">
        <v>9223.947265625</v>
      </c>
    </row>
    <row r="77" spans="1:17" x14ac:dyDescent="0.45">
      <c r="A77">
        <v>76</v>
      </c>
      <c r="B77" s="1">
        <v>41282</v>
      </c>
      <c r="C77" s="2">
        <v>0.58333333333333337</v>
      </c>
      <c r="D77">
        <v>38276.90234375</v>
      </c>
      <c r="E77">
        <v>55090.8046875</v>
      </c>
      <c r="F77">
        <v>8468.3056640625</v>
      </c>
      <c r="G77">
        <v>32566.193359375</v>
      </c>
      <c r="H77">
        <v>67524.6875</v>
      </c>
      <c r="I77">
        <v>24835.5234375</v>
      </c>
      <c r="J77">
        <v>105174.234375</v>
      </c>
      <c r="K77">
        <v>47927.1015625</v>
      </c>
      <c r="L77">
        <v>112501.2578125</v>
      </c>
      <c r="M77">
        <v>92411.34375</v>
      </c>
      <c r="N77">
        <v>18147.685546875</v>
      </c>
      <c r="O77">
        <v>67427.6875</v>
      </c>
      <c r="P77">
        <v>89630.03125</v>
      </c>
      <c r="Q77">
        <v>22199.203125</v>
      </c>
    </row>
    <row r="78" spans="1:17" x14ac:dyDescent="0.45">
      <c r="A78">
        <v>77</v>
      </c>
      <c r="B78" s="1">
        <v>41282</v>
      </c>
      <c r="C78" s="2">
        <v>0.60416666666666663</v>
      </c>
      <c r="D78">
        <v>52582.16015625</v>
      </c>
      <c r="E78">
        <v>57346.11328125</v>
      </c>
      <c r="F78">
        <v>13603.4931640625</v>
      </c>
      <c r="G78">
        <v>54583.3359375</v>
      </c>
      <c r="H78">
        <v>80453.7265625</v>
      </c>
      <c r="I78">
        <v>40405.953125</v>
      </c>
      <c r="J78">
        <v>134073.40625</v>
      </c>
      <c r="K78">
        <v>92734.9921875</v>
      </c>
      <c r="L78">
        <v>144803.578125</v>
      </c>
      <c r="M78">
        <v>153710.328125</v>
      </c>
      <c r="N78">
        <v>18885.896484375</v>
      </c>
      <c r="O78">
        <v>91719.59375</v>
      </c>
      <c r="P78">
        <v>94155.1015625</v>
      </c>
      <c r="Q78">
        <v>34931.2734375</v>
      </c>
    </row>
    <row r="79" spans="1:17" x14ac:dyDescent="0.45">
      <c r="A79">
        <v>78</v>
      </c>
      <c r="B79" s="1">
        <v>41282</v>
      </c>
      <c r="C79" s="2">
        <v>0.625</v>
      </c>
      <c r="D79">
        <v>76095.59375</v>
      </c>
      <c r="E79">
        <v>64666.65234375</v>
      </c>
      <c r="F79">
        <v>22494.59375</v>
      </c>
      <c r="G79">
        <v>72546.984375</v>
      </c>
      <c r="H79">
        <v>96290.65625</v>
      </c>
      <c r="I79">
        <v>44083.73828125</v>
      </c>
      <c r="J79">
        <v>172943</v>
      </c>
      <c r="K79">
        <v>107994.4609375</v>
      </c>
      <c r="L79">
        <v>178280.59375</v>
      </c>
      <c r="M79">
        <v>185736.375</v>
      </c>
      <c r="N79">
        <v>23715.404296875</v>
      </c>
      <c r="O79">
        <v>108238.875</v>
      </c>
      <c r="P79">
        <v>96985.1796875</v>
      </c>
      <c r="Q79">
        <v>43642.05859375</v>
      </c>
    </row>
    <row r="80" spans="1:17" x14ac:dyDescent="0.45">
      <c r="A80">
        <v>79</v>
      </c>
      <c r="B80" s="1">
        <v>41282</v>
      </c>
      <c r="C80" s="2">
        <v>0.64583333333333337</v>
      </c>
      <c r="D80">
        <v>69684.1484375</v>
      </c>
      <c r="E80">
        <v>78446.6015625</v>
      </c>
      <c r="F80">
        <v>31775.15625</v>
      </c>
      <c r="G80">
        <v>70261.875</v>
      </c>
      <c r="H80">
        <v>109454.296875</v>
      </c>
      <c r="I80">
        <v>56667.08203125</v>
      </c>
      <c r="J80">
        <v>182354.8125</v>
      </c>
      <c r="K80">
        <v>127541.4375</v>
      </c>
      <c r="L80">
        <v>188220.171875</v>
      </c>
      <c r="M80">
        <v>191493.46875</v>
      </c>
      <c r="N80">
        <v>30961.630859375</v>
      </c>
      <c r="O80">
        <v>131268.375</v>
      </c>
      <c r="P80">
        <v>104471.640625</v>
      </c>
      <c r="Q80">
        <v>53843.390625</v>
      </c>
    </row>
    <row r="81" spans="1:17" x14ac:dyDescent="0.45">
      <c r="A81">
        <v>80</v>
      </c>
      <c r="B81" s="1">
        <v>41282</v>
      </c>
      <c r="C81" s="2">
        <v>0.66666666666666663</v>
      </c>
      <c r="D81">
        <v>77797.9140625</v>
      </c>
      <c r="E81">
        <v>82061.5625</v>
      </c>
      <c r="F81">
        <v>37157.078125</v>
      </c>
      <c r="G81">
        <v>62579.9140625</v>
      </c>
      <c r="H81">
        <v>121103.5703125</v>
      </c>
      <c r="I81">
        <v>67475.2421875</v>
      </c>
      <c r="J81">
        <v>194619.703125</v>
      </c>
      <c r="K81">
        <v>143078.859375</v>
      </c>
      <c r="L81">
        <v>188870.21875</v>
      </c>
      <c r="M81">
        <v>203668.015625</v>
      </c>
      <c r="N81">
        <v>38845.4375</v>
      </c>
      <c r="O81">
        <v>146292.859375</v>
      </c>
      <c r="P81">
        <v>112535.5546875</v>
      </c>
      <c r="Q81">
        <v>62386.9375</v>
      </c>
    </row>
    <row r="82" spans="1:17" x14ac:dyDescent="0.45">
      <c r="A82">
        <v>81</v>
      </c>
      <c r="B82" s="1">
        <v>41282</v>
      </c>
      <c r="C82" s="2">
        <v>0.6875</v>
      </c>
      <c r="D82">
        <v>90581.8984375</v>
      </c>
      <c r="E82">
        <v>87109.3515625</v>
      </c>
      <c r="F82">
        <v>40963.5</v>
      </c>
      <c r="G82">
        <v>78128.1953125</v>
      </c>
      <c r="H82">
        <v>139852.515625</v>
      </c>
      <c r="I82">
        <v>67692.65625</v>
      </c>
      <c r="J82">
        <v>216179.765625</v>
      </c>
      <c r="K82">
        <v>165987</v>
      </c>
      <c r="L82">
        <v>217860.796875</v>
      </c>
      <c r="M82">
        <v>237514.359375</v>
      </c>
      <c r="N82">
        <v>45687.171875</v>
      </c>
      <c r="O82">
        <v>149841.90625</v>
      </c>
      <c r="P82">
        <v>118609.9921875</v>
      </c>
      <c r="Q82">
        <v>75462.5625</v>
      </c>
    </row>
    <row r="83" spans="1:17" x14ac:dyDescent="0.45">
      <c r="A83">
        <v>82</v>
      </c>
      <c r="B83" s="1">
        <v>41282</v>
      </c>
      <c r="C83" s="2">
        <v>0.70833333333333337</v>
      </c>
      <c r="D83">
        <v>107212.5625</v>
      </c>
      <c r="E83">
        <v>88410.015625</v>
      </c>
      <c r="F83">
        <v>67482.5</v>
      </c>
      <c r="G83">
        <v>105275.609375</v>
      </c>
      <c r="H83">
        <v>154252.3125</v>
      </c>
      <c r="I83">
        <v>86736.609375</v>
      </c>
      <c r="J83">
        <v>251141.78125</v>
      </c>
      <c r="K83">
        <v>231186.53125</v>
      </c>
      <c r="L83">
        <v>252494.375</v>
      </c>
      <c r="M83">
        <v>298502.375</v>
      </c>
      <c r="N83">
        <v>51262.00390625</v>
      </c>
      <c r="O83">
        <v>186011.90625</v>
      </c>
      <c r="P83">
        <v>129790.078125</v>
      </c>
      <c r="Q83">
        <v>92947.953125</v>
      </c>
    </row>
    <row r="84" spans="1:17" x14ac:dyDescent="0.45">
      <c r="A84">
        <v>83</v>
      </c>
      <c r="B84" s="1">
        <v>41282</v>
      </c>
      <c r="C84" s="2">
        <v>0.72916666666666663</v>
      </c>
      <c r="D84">
        <v>122875.5546875</v>
      </c>
      <c r="E84">
        <v>103013.34375</v>
      </c>
      <c r="F84">
        <v>82726.484375</v>
      </c>
      <c r="G84">
        <v>116038.4921875</v>
      </c>
      <c r="H84">
        <v>181317.078125</v>
      </c>
      <c r="I84">
        <v>101163.7578125</v>
      </c>
      <c r="J84">
        <v>290002.875</v>
      </c>
      <c r="K84">
        <v>271650.40625</v>
      </c>
      <c r="L84">
        <v>286304.84375</v>
      </c>
      <c r="M84">
        <v>340540.53125</v>
      </c>
      <c r="N84">
        <v>58471.11328125</v>
      </c>
      <c r="O84">
        <v>216611.515625</v>
      </c>
      <c r="P84">
        <v>138347.234375</v>
      </c>
      <c r="Q84">
        <v>107892.6484375</v>
      </c>
    </row>
    <row r="85" spans="1:17" x14ac:dyDescent="0.45">
      <c r="A85">
        <v>84</v>
      </c>
      <c r="B85" s="1">
        <v>41282</v>
      </c>
      <c r="C85" s="2">
        <v>0.75</v>
      </c>
      <c r="D85">
        <v>132201.875</v>
      </c>
      <c r="E85">
        <v>111855.7578125</v>
      </c>
      <c r="F85">
        <v>99151.046875</v>
      </c>
      <c r="G85">
        <v>133080.140625</v>
      </c>
      <c r="H85">
        <v>203139.359375</v>
      </c>
      <c r="I85">
        <v>110048.296875</v>
      </c>
      <c r="J85">
        <v>325677.5625</v>
      </c>
      <c r="K85">
        <v>326026.25</v>
      </c>
      <c r="L85">
        <v>323121.21875</v>
      </c>
      <c r="M85">
        <v>394028.59375</v>
      </c>
      <c r="N85">
        <v>63639.6796875</v>
      </c>
      <c r="O85">
        <v>248331.046875</v>
      </c>
      <c r="P85">
        <v>152013.84375</v>
      </c>
      <c r="Q85">
        <v>131859.1875</v>
      </c>
    </row>
    <row r="86" spans="1:17" x14ac:dyDescent="0.45">
      <c r="A86">
        <v>85</v>
      </c>
      <c r="B86" s="1">
        <v>41282</v>
      </c>
      <c r="C86" s="2">
        <v>0.77083333333333337</v>
      </c>
      <c r="D86">
        <v>147024.046875</v>
      </c>
      <c r="E86">
        <v>111393.0390625</v>
      </c>
      <c r="F86">
        <v>109481.5078125</v>
      </c>
      <c r="G86">
        <v>156203.09375</v>
      </c>
      <c r="H86">
        <v>212311.546875</v>
      </c>
      <c r="I86">
        <v>117702.65625</v>
      </c>
      <c r="J86">
        <v>355674.75</v>
      </c>
      <c r="K86">
        <v>361998.8125</v>
      </c>
      <c r="L86">
        <v>356139.5625</v>
      </c>
      <c r="M86">
        <v>449136.34375</v>
      </c>
      <c r="N86">
        <v>63761.63671875</v>
      </c>
      <c r="O86">
        <v>268961.03125</v>
      </c>
      <c r="P86">
        <v>167458.109375</v>
      </c>
      <c r="Q86">
        <v>153533.828125</v>
      </c>
    </row>
    <row r="87" spans="1:17" x14ac:dyDescent="0.45">
      <c r="A87">
        <v>86</v>
      </c>
      <c r="B87" s="1">
        <v>41282</v>
      </c>
      <c r="C87" s="2">
        <v>0.79166666666666663</v>
      </c>
      <c r="D87">
        <v>148009.390625</v>
      </c>
      <c r="E87">
        <v>106026.859375</v>
      </c>
      <c r="F87">
        <v>110586.2734375</v>
      </c>
      <c r="G87">
        <v>158062.90625</v>
      </c>
      <c r="H87">
        <v>214058.703125</v>
      </c>
      <c r="I87">
        <v>124046</v>
      </c>
      <c r="J87">
        <v>350052.40625</v>
      </c>
      <c r="K87">
        <v>380732.15625</v>
      </c>
      <c r="L87">
        <v>358220.9375</v>
      </c>
      <c r="M87">
        <v>470130.59375</v>
      </c>
      <c r="N87">
        <v>64013.625</v>
      </c>
      <c r="O87">
        <v>273358.1875</v>
      </c>
      <c r="P87">
        <v>175507.890625</v>
      </c>
      <c r="Q87">
        <v>164101.390625</v>
      </c>
    </row>
    <row r="88" spans="1:17" x14ac:dyDescent="0.45">
      <c r="A88">
        <v>87</v>
      </c>
      <c r="B88" s="1">
        <v>41282</v>
      </c>
      <c r="C88" s="2">
        <v>0.8125</v>
      </c>
      <c r="D88">
        <v>160009.03125</v>
      </c>
      <c r="E88">
        <v>113231.203125</v>
      </c>
      <c r="F88">
        <v>121288.890625</v>
      </c>
      <c r="G88">
        <v>154397.59375</v>
      </c>
      <c r="H88">
        <v>230186.8125</v>
      </c>
      <c r="I88">
        <v>129849.515625</v>
      </c>
      <c r="J88">
        <v>376136.9375</v>
      </c>
      <c r="K88">
        <v>385754.71875</v>
      </c>
      <c r="L88">
        <v>378206.8125</v>
      </c>
      <c r="M88">
        <v>474327.875</v>
      </c>
      <c r="N88">
        <v>77800.3828125</v>
      </c>
      <c r="O88">
        <v>292264.25</v>
      </c>
      <c r="P88">
        <v>168980.390625</v>
      </c>
      <c r="Q88">
        <v>165447.34375</v>
      </c>
    </row>
    <row r="89" spans="1:17" x14ac:dyDescent="0.45">
      <c r="A89">
        <v>88</v>
      </c>
      <c r="B89" s="1">
        <v>41282</v>
      </c>
      <c r="C89" s="2">
        <v>0.83333333333333337</v>
      </c>
      <c r="D89">
        <v>163114.09375</v>
      </c>
      <c r="E89">
        <v>127321.53125</v>
      </c>
      <c r="F89">
        <v>119820.546875</v>
      </c>
      <c r="G89">
        <v>152429.484375</v>
      </c>
      <c r="H89">
        <v>247889.75</v>
      </c>
      <c r="I89">
        <v>118969.0703125</v>
      </c>
      <c r="J89">
        <v>394497.21875</v>
      </c>
      <c r="K89">
        <v>379957.3125</v>
      </c>
      <c r="L89">
        <v>397403.03125</v>
      </c>
      <c r="M89">
        <v>466836.71875</v>
      </c>
      <c r="N89">
        <v>87447.0390625</v>
      </c>
      <c r="O89">
        <v>297245.9375</v>
      </c>
      <c r="P89">
        <v>159255.703125</v>
      </c>
      <c r="Q89">
        <v>164577.171875</v>
      </c>
    </row>
    <row r="90" spans="1:17" x14ac:dyDescent="0.45">
      <c r="A90">
        <v>89</v>
      </c>
      <c r="B90" s="1">
        <v>41282</v>
      </c>
      <c r="C90" s="2">
        <v>0.85416666666666663</v>
      </c>
      <c r="D90">
        <v>163778.109375</v>
      </c>
      <c r="E90">
        <v>119312.78125</v>
      </c>
      <c r="F90">
        <v>113088.7578125</v>
      </c>
      <c r="G90">
        <v>154956.75</v>
      </c>
      <c r="H90">
        <v>246058.515625</v>
      </c>
      <c r="I90">
        <v>112739.8671875</v>
      </c>
      <c r="J90">
        <v>394092.375</v>
      </c>
      <c r="K90">
        <v>377484.71875</v>
      </c>
      <c r="L90">
        <v>395453.90625</v>
      </c>
      <c r="M90">
        <v>470759.3125</v>
      </c>
      <c r="N90">
        <v>88693.4921875</v>
      </c>
      <c r="O90">
        <v>291364.4375</v>
      </c>
      <c r="P90">
        <v>157593.828125</v>
      </c>
      <c r="Q90">
        <v>166894.984375</v>
      </c>
    </row>
    <row r="91" spans="1:17" x14ac:dyDescent="0.45">
      <c r="A91">
        <v>90</v>
      </c>
      <c r="B91" s="1">
        <v>41282</v>
      </c>
      <c r="C91" s="2">
        <v>0.875</v>
      </c>
      <c r="D91">
        <v>166269.015625</v>
      </c>
      <c r="E91">
        <v>111337.0859375</v>
      </c>
      <c r="F91">
        <v>107885.2578125</v>
      </c>
      <c r="G91">
        <v>153452.3125</v>
      </c>
      <c r="H91">
        <v>238014.171875</v>
      </c>
      <c r="I91">
        <v>114746.234375</v>
      </c>
      <c r="J91">
        <v>377224.3125</v>
      </c>
      <c r="K91">
        <v>378277.03125</v>
      </c>
      <c r="L91">
        <v>377936.59375</v>
      </c>
      <c r="M91">
        <v>472418.6875</v>
      </c>
      <c r="N91">
        <v>89017.5625</v>
      </c>
      <c r="O91">
        <v>276151.9375</v>
      </c>
      <c r="P91">
        <v>163747</v>
      </c>
      <c r="Q91">
        <v>166290.78125</v>
      </c>
    </row>
    <row r="92" spans="1:17" x14ac:dyDescent="0.45">
      <c r="A92">
        <v>91</v>
      </c>
      <c r="B92" s="1">
        <v>41282</v>
      </c>
      <c r="C92" s="2">
        <v>0.89583333333333337</v>
      </c>
      <c r="D92">
        <v>162067.328125</v>
      </c>
      <c r="E92">
        <v>108439.8359375</v>
      </c>
      <c r="F92">
        <v>94293.703125</v>
      </c>
      <c r="G92">
        <v>133795.953125</v>
      </c>
      <c r="H92">
        <v>232715.765625</v>
      </c>
      <c r="I92">
        <v>104040.2109375</v>
      </c>
      <c r="J92">
        <v>362338.65625</v>
      </c>
      <c r="K92">
        <v>337334.6875</v>
      </c>
      <c r="L92">
        <v>359570.21875</v>
      </c>
      <c r="M92">
        <v>441396.5625</v>
      </c>
      <c r="N92">
        <v>87310.234375</v>
      </c>
      <c r="O92">
        <v>250126.78125</v>
      </c>
      <c r="P92">
        <v>148133.328125</v>
      </c>
      <c r="Q92">
        <v>158471.953125</v>
      </c>
    </row>
    <row r="93" spans="1:17" x14ac:dyDescent="0.45">
      <c r="A93">
        <v>92</v>
      </c>
      <c r="B93" s="1">
        <v>41282</v>
      </c>
      <c r="C93" s="2">
        <v>0.91666666666666663</v>
      </c>
      <c r="D93">
        <v>159965.5</v>
      </c>
      <c r="E93">
        <v>93202.2421875</v>
      </c>
      <c r="F93">
        <v>85432.046875</v>
      </c>
      <c r="G93">
        <v>131042.859375</v>
      </c>
      <c r="H93">
        <v>214790.328125</v>
      </c>
      <c r="I93">
        <v>111577.7109375</v>
      </c>
      <c r="J93">
        <v>340591.375</v>
      </c>
      <c r="K93">
        <v>333374.9375</v>
      </c>
      <c r="L93">
        <v>342801.65625</v>
      </c>
      <c r="M93">
        <v>442368.09375</v>
      </c>
      <c r="N93">
        <v>75181.359375</v>
      </c>
      <c r="O93">
        <v>248281.890625</v>
      </c>
      <c r="P93">
        <v>134325.59375</v>
      </c>
      <c r="Q93">
        <v>149132.03125</v>
      </c>
    </row>
    <row r="94" spans="1:17" x14ac:dyDescent="0.45">
      <c r="A94">
        <v>93</v>
      </c>
      <c r="B94" s="1">
        <v>41282</v>
      </c>
      <c r="C94" s="2">
        <v>0.9375</v>
      </c>
      <c r="D94">
        <v>141403.734375</v>
      </c>
      <c r="E94">
        <v>79814.625</v>
      </c>
      <c r="F94">
        <v>74231.09375</v>
      </c>
      <c r="G94">
        <v>113981.2578125</v>
      </c>
      <c r="H94">
        <v>198376.53125</v>
      </c>
      <c r="I94">
        <v>89953.59375</v>
      </c>
      <c r="J94">
        <v>294828.46875</v>
      </c>
      <c r="K94">
        <v>282233.21875</v>
      </c>
      <c r="L94">
        <v>304327.5625</v>
      </c>
      <c r="M94">
        <v>389946.28125</v>
      </c>
      <c r="N94">
        <v>59155.61328125</v>
      </c>
      <c r="O94">
        <v>208268.71875</v>
      </c>
      <c r="P94">
        <v>121576.1953125</v>
      </c>
      <c r="Q94">
        <v>130607.875</v>
      </c>
    </row>
    <row r="95" spans="1:17" x14ac:dyDescent="0.45">
      <c r="A95">
        <v>94</v>
      </c>
      <c r="B95" s="1">
        <v>41282</v>
      </c>
      <c r="C95" s="2">
        <v>0.95833333333333337</v>
      </c>
      <c r="D95">
        <v>128246.2109375</v>
      </c>
      <c r="E95">
        <v>72635.375</v>
      </c>
      <c r="F95">
        <v>66841.28125</v>
      </c>
      <c r="G95">
        <v>109344.671875</v>
      </c>
      <c r="H95">
        <v>178449.9375</v>
      </c>
      <c r="I95">
        <v>76011.75</v>
      </c>
      <c r="J95">
        <v>266684.09375</v>
      </c>
      <c r="K95">
        <v>249653.640625</v>
      </c>
      <c r="L95">
        <v>275219.09375</v>
      </c>
      <c r="M95">
        <v>348036.125</v>
      </c>
      <c r="N95">
        <v>52681.94140625</v>
      </c>
      <c r="O95">
        <v>179451.765625</v>
      </c>
      <c r="P95">
        <v>111730.0703125</v>
      </c>
      <c r="Q95">
        <v>112816.3359375</v>
      </c>
    </row>
    <row r="96" spans="1:17" x14ac:dyDescent="0.45">
      <c r="A96">
        <v>95</v>
      </c>
      <c r="B96" s="1">
        <v>41282</v>
      </c>
      <c r="C96" s="2">
        <v>0.97916666666666663</v>
      </c>
      <c r="D96">
        <v>94507.984375</v>
      </c>
      <c r="E96">
        <v>68042.078125</v>
      </c>
      <c r="F96">
        <v>63497.015625</v>
      </c>
      <c r="G96">
        <v>98962.7734375</v>
      </c>
      <c r="H96">
        <v>149735.0625</v>
      </c>
      <c r="I96">
        <v>57201.203125</v>
      </c>
      <c r="J96">
        <v>228687.796875</v>
      </c>
      <c r="K96">
        <v>201337.75</v>
      </c>
      <c r="L96">
        <v>237890.78125</v>
      </c>
      <c r="M96">
        <v>273013.21875</v>
      </c>
      <c r="N96">
        <v>46716.5703125</v>
      </c>
      <c r="O96">
        <v>157791.078125</v>
      </c>
      <c r="P96">
        <v>86277.6796875</v>
      </c>
      <c r="Q96">
        <v>85305.625</v>
      </c>
    </row>
    <row r="97" spans="1:17" x14ac:dyDescent="0.45">
      <c r="A97">
        <v>96</v>
      </c>
      <c r="B97" s="1">
        <v>41283</v>
      </c>
      <c r="C97" s="2">
        <v>0</v>
      </c>
      <c r="D97">
        <v>96668.359375</v>
      </c>
      <c r="E97">
        <v>55757.26953125</v>
      </c>
      <c r="F97">
        <v>56276.58984375</v>
      </c>
      <c r="G97">
        <v>94029.828125</v>
      </c>
      <c r="H97">
        <v>129921.8828125</v>
      </c>
      <c r="I97">
        <v>53802.421875</v>
      </c>
      <c r="J97">
        <v>208739.046875</v>
      </c>
      <c r="K97">
        <v>186234.4375</v>
      </c>
      <c r="L97">
        <v>216206.953125</v>
      </c>
      <c r="M97">
        <v>260886.53125</v>
      </c>
      <c r="N97">
        <v>36695.4453125</v>
      </c>
      <c r="O97">
        <v>142743.96875</v>
      </c>
      <c r="P97">
        <v>81870.078125</v>
      </c>
      <c r="Q97">
        <v>83412.875</v>
      </c>
    </row>
    <row r="98" spans="1:17" x14ac:dyDescent="0.45">
      <c r="A98">
        <v>97</v>
      </c>
      <c r="B98" s="1">
        <v>41283</v>
      </c>
      <c r="C98" s="2">
        <v>2.0833333333333332E-2</v>
      </c>
      <c r="D98">
        <v>85643.4453125</v>
      </c>
      <c r="E98">
        <v>42371.3671875</v>
      </c>
      <c r="F98">
        <v>47867.515625</v>
      </c>
      <c r="G98">
        <v>85802.78125</v>
      </c>
      <c r="H98">
        <v>102955.140625</v>
      </c>
      <c r="I98">
        <v>54492.703125</v>
      </c>
      <c r="J98">
        <v>173562.859375</v>
      </c>
      <c r="K98">
        <v>177129.1875</v>
      </c>
      <c r="L98">
        <v>184473.453125</v>
      </c>
      <c r="M98">
        <v>242169.5625</v>
      </c>
      <c r="N98">
        <v>27778.66015625</v>
      </c>
      <c r="O98">
        <v>126260.7265625</v>
      </c>
      <c r="P98">
        <v>77361.0703125</v>
      </c>
      <c r="Q98">
        <v>78191.234375</v>
      </c>
    </row>
    <row r="99" spans="1:17" x14ac:dyDescent="0.45">
      <c r="A99">
        <v>98</v>
      </c>
      <c r="B99" s="1">
        <v>41283</v>
      </c>
      <c r="C99" s="2">
        <v>4.1666666666666664E-2</v>
      </c>
      <c r="D99">
        <v>86940.75</v>
      </c>
      <c r="E99">
        <v>37658.6875</v>
      </c>
      <c r="F99">
        <v>44671.6484375</v>
      </c>
      <c r="G99">
        <v>84592.078125</v>
      </c>
      <c r="H99">
        <v>97456.90625</v>
      </c>
      <c r="I99">
        <v>57781.7265625</v>
      </c>
      <c r="J99">
        <v>168962.640625</v>
      </c>
      <c r="K99">
        <v>172005.484375</v>
      </c>
      <c r="L99">
        <v>180202.734375</v>
      </c>
      <c r="M99">
        <v>240440.796875</v>
      </c>
      <c r="N99">
        <v>25197.8203125</v>
      </c>
      <c r="O99">
        <v>123193.71875</v>
      </c>
      <c r="P99">
        <v>66374.3359375</v>
      </c>
      <c r="Q99">
        <v>70318.6796875</v>
      </c>
    </row>
    <row r="100" spans="1:17" x14ac:dyDescent="0.45">
      <c r="A100">
        <v>99</v>
      </c>
      <c r="B100" s="1">
        <v>41283</v>
      </c>
      <c r="C100" s="2">
        <v>6.25E-2</v>
      </c>
      <c r="D100">
        <v>81958.765625</v>
      </c>
      <c r="E100">
        <v>35651.375</v>
      </c>
      <c r="F100">
        <v>38681.37890625</v>
      </c>
      <c r="G100">
        <v>73845.7265625</v>
      </c>
      <c r="H100">
        <v>91597.4921875</v>
      </c>
      <c r="I100">
        <v>51496.125</v>
      </c>
      <c r="J100">
        <v>156122.671875</v>
      </c>
      <c r="K100">
        <v>159556.90625</v>
      </c>
      <c r="L100">
        <v>163144.203125</v>
      </c>
      <c r="M100">
        <v>222073.65625</v>
      </c>
      <c r="N100">
        <v>25744.021484375</v>
      </c>
      <c r="O100">
        <v>109107.21875</v>
      </c>
      <c r="P100">
        <v>66998.515625</v>
      </c>
      <c r="Q100">
        <v>69802.5390625</v>
      </c>
    </row>
    <row r="101" spans="1:17" x14ac:dyDescent="0.45">
      <c r="A101">
        <v>100</v>
      </c>
      <c r="B101" s="1">
        <v>41283</v>
      </c>
      <c r="C101" s="2">
        <v>8.3333333333333329E-2</v>
      </c>
      <c r="D101">
        <v>72225.5390625</v>
      </c>
      <c r="E101">
        <v>33138.98828125</v>
      </c>
      <c r="F101">
        <v>32989.921875</v>
      </c>
      <c r="G101">
        <v>70103.6015625</v>
      </c>
      <c r="H101">
        <v>80869.78125</v>
      </c>
      <c r="I101">
        <v>47663.109375</v>
      </c>
      <c r="J101">
        <v>140348.765625</v>
      </c>
      <c r="K101">
        <v>150333.109375</v>
      </c>
      <c r="L101">
        <v>148308.703125</v>
      </c>
      <c r="M101">
        <v>205127.1875</v>
      </c>
      <c r="N101">
        <v>24773.720703125</v>
      </c>
      <c r="O101">
        <v>101880.8359375</v>
      </c>
      <c r="P101">
        <v>60735.1328125</v>
      </c>
      <c r="Q101">
        <v>64736.87109375</v>
      </c>
    </row>
    <row r="102" spans="1:17" x14ac:dyDescent="0.45">
      <c r="A102">
        <v>101</v>
      </c>
      <c r="B102" s="1">
        <v>41283</v>
      </c>
      <c r="C102" s="2">
        <v>0.10416666666666667</v>
      </c>
      <c r="D102">
        <v>70005.75</v>
      </c>
      <c r="E102">
        <v>28441.314453125</v>
      </c>
      <c r="F102">
        <v>34831.48828125</v>
      </c>
      <c r="G102">
        <v>72596.71875</v>
      </c>
      <c r="H102">
        <v>72713.0859375</v>
      </c>
      <c r="I102">
        <v>54876.78515625</v>
      </c>
      <c r="J102">
        <v>134105.5625</v>
      </c>
      <c r="K102">
        <v>158874.71875</v>
      </c>
      <c r="L102">
        <v>143878.375</v>
      </c>
      <c r="M102">
        <v>209093.8125</v>
      </c>
      <c r="N102">
        <v>22521.03125</v>
      </c>
      <c r="O102">
        <v>108679.1015625</v>
      </c>
      <c r="P102">
        <v>57196.18359375</v>
      </c>
      <c r="Q102">
        <v>64084.703125</v>
      </c>
    </row>
    <row r="103" spans="1:17" x14ac:dyDescent="0.45">
      <c r="A103">
        <v>102</v>
      </c>
      <c r="B103" s="1">
        <v>41283</v>
      </c>
      <c r="C103" s="2">
        <v>0.125</v>
      </c>
      <c r="D103">
        <v>64794.8984375</v>
      </c>
      <c r="E103">
        <v>36512.73828125</v>
      </c>
      <c r="F103">
        <v>39642.4375</v>
      </c>
      <c r="G103">
        <v>65840.7578125</v>
      </c>
      <c r="H103">
        <v>83723</v>
      </c>
      <c r="I103">
        <v>53196.40234375</v>
      </c>
      <c r="J103">
        <v>140448.484375</v>
      </c>
      <c r="K103">
        <v>147064.421875</v>
      </c>
      <c r="L103">
        <v>147618.234375</v>
      </c>
      <c r="M103">
        <v>192971.734375</v>
      </c>
      <c r="N103">
        <v>24535.62890625</v>
      </c>
      <c r="O103">
        <v>112386.3046875</v>
      </c>
      <c r="P103">
        <v>52414.97265625</v>
      </c>
      <c r="Q103">
        <v>56672.31640625</v>
      </c>
    </row>
    <row r="104" spans="1:17" x14ac:dyDescent="0.45">
      <c r="A104">
        <v>103</v>
      </c>
      <c r="B104" s="1">
        <v>41283</v>
      </c>
      <c r="C104" s="2">
        <v>0.14583333333333334</v>
      </c>
      <c r="D104">
        <v>61271.2890625</v>
      </c>
      <c r="E104">
        <v>32592.52734375</v>
      </c>
      <c r="F104">
        <v>38708.62109375</v>
      </c>
      <c r="G104">
        <v>58511.94921875</v>
      </c>
      <c r="H104">
        <v>78651.5625</v>
      </c>
      <c r="I104">
        <v>49661.8828125</v>
      </c>
      <c r="J104">
        <v>133065.359375</v>
      </c>
      <c r="K104">
        <v>136876.796875</v>
      </c>
      <c r="L104">
        <v>136037.21875</v>
      </c>
      <c r="M104">
        <v>181194.046875</v>
      </c>
      <c r="N104">
        <v>22757.10546875</v>
      </c>
      <c r="O104">
        <v>106248.15625</v>
      </c>
      <c r="P104">
        <v>51299.3203125</v>
      </c>
      <c r="Q104">
        <v>55965.98046875</v>
      </c>
    </row>
    <row r="105" spans="1:17" x14ac:dyDescent="0.45">
      <c r="A105">
        <v>104</v>
      </c>
      <c r="B105" s="1">
        <v>41283</v>
      </c>
      <c r="C105" s="2">
        <v>0.16666666666666666</v>
      </c>
      <c r="D105">
        <v>61292.95703125</v>
      </c>
      <c r="E105">
        <v>30029.662109375</v>
      </c>
      <c r="F105">
        <v>37914.04296875</v>
      </c>
      <c r="G105">
        <v>58882.0703125</v>
      </c>
      <c r="H105">
        <v>75410.1015625</v>
      </c>
      <c r="I105">
        <v>41258.15625</v>
      </c>
      <c r="J105">
        <v>129530.390625</v>
      </c>
      <c r="K105">
        <v>121835.4140625</v>
      </c>
      <c r="L105">
        <v>132596.40625</v>
      </c>
      <c r="M105">
        <v>166963.03125</v>
      </c>
      <c r="N105">
        <v>18395.748046875</v>
      </c>
      <c r="O105">
        <v>98357.5703125</v>
      </c>
      <c r="P105">
        <v>46239.2734375</v>
      </c>
      <c r="Q105">
        <v>49447.8515625</v>
      </c>
    </row>
    <row r="106" spans="1:17" x14ac:dyDescent="0.45">
      <c r="A106">
        <v>105</v>
      </c>
      <c r="B106" s="1">
        <v>41283</v>
      </c>
      <c r="C106" s="2">
        <v>0.1875</v>
      </c>
      <c r="D106">
        <v>58210.78515625</v>
      </c>
      <c r="E106">
        <v>27070.294921875</v>
      </c>
      <c r="F106">
        <v>33287.04296875</v>
      </c>
      <c r="G106">
        <v>58967.5625</v>
      </c>
      <c r="H106">
        <v>64532.515625</v>
      </c>
      <c r="I106">
        <v>40817.95703125</v>
      </c>
      <c r="J106">
        <v>119137.890625</v>
      </c>
      <c r="K106">
        <v>125364.796875</v>
      </c>
      <c r="L106">
        <v>121165.640625</v>
      </c>
      <c r="M106">
        <v>164328.03125</v>
      </c>
      <c r="N106">
        <v>20604.435546875</v>
      </c>
      <c r="O106">
        <v>90363.5390625</v>
      </c>
      <c r="P106">
        <v>47641.66015625</v>
      </c>
      <c r="Q106">
        <v>50803.7578125</v>
      </c>
    </row>
    <row r="107" spans="1:17" x14ac:dyDescent="0.45">
      <c r="A107">
        <v>106</v>
      </c>
      <c r="B107" s="1">
        <v>41283</v>
      </c>
      <c r="C107" s="2">
        <v>0.20833333333333334</v>
      </c>
      <c r="D107">
        <v>59040.42578125</v>
      </c>
      <c r="E107">
        <v>25187.142578125</v>
      </c>
      <c r="F107">
        <v>29997.546875</v>
      </c>
      <c r="G107">
        <v>58719.14453125</v>
      </c>
      <c r="H107">
        <v>58808.09375</v>
      </c>
      <c r="I107">
        <v>37273.265625</v>
      </c>
      <c r="J107">
        <v>114862.875</v>
      </c>
      <c r="K107">
        <v>121313.328125</v>
      </c>
      <c r="L107">
        <v>116696.5546875</v>
      </c>
      <c r="M107">
        <v>162783.71875</v>
      </c>
      <c r="N107">
        <v>20328.34765625</v>
      </c>
      <c r="O107">
        <v>85077.53125</v>
      </c>
      <c r="P107">
        <v>45039.02734375</v>
      </c>
      <c r="Q107">
        <v>53056.0078125</v>
      </c>
    </row>
    <row r="108" spans="1:17" x14ac:dyDescent="0.45">
      <c r="A108">
        <v>107</v>
      </c>
      <c r="B108" s="1">
        <v>41283</v>
      </c>
      <c r="C108" s="2">
        <v>0.22916666666666666</v>
      </c>
      <c r="D108">
        <v>56540.203125</v>
      </c>
      <c r="E108">
        <v>24774.10546875</v>
      </c>
      <c r="F108">
        <v>28280.896484375</v>
      </c>
      <c r="G108">
        <v>53787.17578125</v>
      </c>
      <c r="H108">
        <v>58538.83984375</v>
      </c>
      <c r="I108">
        <v>35626.78125</v>
      </c>
      <c r="J108">
        <v>109823.1796875</v>
      </c>
      <c r="K108">
        <v>112690.1484375</v>
      </c>
      <c r="L108">
        <v>111991.0546875</v>
      </c>
      <c r="M108">
        <v>152897.09375</v>
      </c>
      <c r="N108">
        <v>20270.322265625</v>
      </c>
      <c r="O108">
        <v>80591.9921875</v>
      </c>
      <c r="P108">
        <v>41384.0078125</v>
      </c>
      <c r="Q108">
        <v>49553.98046875</v>
      </c>
    </row>
    <row r="109" spans="1:17" x14ac:dyDescent="0.45">
      <c r="A109">
        <v>108</v>
      </c>
      <c r="B109" s="1">
        <v>41283</v>
      </c>
      <c r="C109" s="2">
        <v>0.25</v>
      </c>
      <c r="D109">
        <v>51026.74609375</v>
      </c>
      <c r="E109">
        <v>23243.1875</v>
      </c>
      <c r="F109">
        <v>25521.138671875</v>
      </c>
      <c r="G109">
        <v>50269.45703125</v>
      </c>
      <c r="H109">
        <v>54527.40234375</v>
      </c>
      <c r="I109">
        <v>28181.1953125</v>
      </c>
      <c r="J109">
        <v>101447.0625</v>
      </c>
      <c r="K109">
        <v>101052.0546875</v>
      </c>
      <c r="L109">
        <v>104819.5</v>
      </c>
      <c r="M109">
        <v>139191.265625</v>
      </c>
      <c r="N109">
        <v>19340.046875</v>
      </c>
      <c r="O109">
        <v>69962.59375</v>
      </c>
      <c r="P109">
        <v>40819.93359375</v>
      </c>
      <c r="Q109">
        <v>46999.1796875</v>
      </c>
    </row>
    <row r="110" spans="1:17" x14ac:dyDescent="0.45">
      <c r="A110">
        <v>109</v>
      </c>
      <c r="B110" s="1">
        <v>41283</v>
      </c>
      <c r="C110" s="2">
        <v>0.27083333333333331</v>
      </c>
      <c r="D110">
        <v>47498.890625</v>
      </c>
      <c r="E110">
        <v>21069.015625</v>
      </c>
      <c r="F110">
        <v>22645.412109375</v>
      </c>
      <c r="G110">
        <v>46342.46875</v>
      </c>
      <c r="H110">
        <v>50538.75390625</v>
      </c>
      <c r="I110">
        <v>23748.6484375</v>
      </c>
      <c r="J110">
        <v>93767.8359375</v>
      </c>
      <c r="K110">
        <v>89501.9296875</v>
      </c>
      <c r="L110">
        <v>96565.46875</v>
      </c>
      <c r="M110">
        <v>128371.125</v>
      </c>
      <c r="N110">
        <v>16217.06640625</v>
      </c>
      <c r="O110">
        <v>62512.19921875</v>
      </c>
      <c r="P110">
        <v>37831.19921875</v>
      </c>
      <c r="Q110">
        <v>44482.375</v>
      </c>
    </row>
    <row r="111" spans="1:17" x14ac:dyDescent="0.45">
      <c r="A111">
        <v>110</v>
      </c>
      <c r="B111" s="1">
        <v>41283</v>
      </c>
      <c r="C111" s="2">
        <v>0.29166666666666669</v>
      </c>
      <c r="D111">
        <v>51627.859375</v>
      </c>
      <c r="E111">
        <v>20376.66796875</v>
      </c>
      <c r="F111">
        <v>25279.064453125</v>
      </c>
      <c r="G111">
        <v>41208.765625</v>
      </c>
      <c r="H111">
        <v>59915.2578125</v>
      </c>
      <c r="I111">
        <v>23336.818359375</v>
      </c>
      <c r="J111">
        <v>99215.7109375</v>
      </c>
      <c r="K111">
        <v>85716.5390625</v>
      </c>
      <c r="L111">
        <v>101459.078125</v>
      </c>
      <c r="M111">
        <v>128365.3125</v>
      </c>
      <c r="N111">
        <v>14517.3076171875</v>
      </c>
      <c r="O111">
        <v>62556.12109375</v>
      </c>
      <c r="P111">
        <v>38137.4296875</v>
      </c>
      <c r="Q111">
        <v>41759.44140625</v>
      </c>
    </row>
    <row r="112" spans="1:17" x14ac:dyDescent="0.45">
      <c r="A112">
        <v>111</v>
      </c>
      <c r="B112" s="1">
        <v>41283</v>
      </c>
      <c r="C112" s="2">
        <v>0.3125</v>
      </c>
      <c r="D112">
        <v>41042.796875</v>
      </c>
      <c r="E112">
        <v>18642.712890625</v>
      </c>
      <c r="F112">
        <v>20600.626953125</v>
      </c>
      <c r="G112">
        <v>34653.0234375</v>
      </c>
      <c r="H112">
        <v>46907.15234375</v>
      </c>
      <c r="I112">
        <v>22882.279296875</v>
      </c>
      <c r="J112">
        <v>80428.4609375</v>
      </c>
      <c r="K112">
        <v>82223.6015625</v>
      </c>
      <c r="L112">
        <v>82359.8984375</v>
      </c>
      <c r="M112">
        <v>112815.03125</v>
      </c>
      <c r="N112">
        <v>13431.9306640625</v>
      </c>
      <c r="O112">
        <v>56232.11328125</v>
      </c>
      <c r="P112">
        <v>42698.3203125</v>
      </c>
      <c r="Q112">
        <v>40981.19921875</v>
      </c>
    </row>
    <row r="113" spans="1:17" x14ac:dyDescent="0.45">
      <c r="A113">
        <v>112</v>
      </c>
      <c r="B113" s="1">
        <v>41283</v>
      </c>
      <c r="C113" s="2">
        <v>0.33333333333333331</v>
      </c>
      <c r="D113">
        <v>29002.171875</v>
      </c>
      <c r="E113">
        <v>15406.603515625</v>
      </c>
      <c r="F113">
        <v>18203.513671875</v>
      </c>
      <c r="G113">
        <v>26564.3828125</v>
      </c>
      <c r="H113">
        <v>31085.13671875</v>
      </c>
      <c r="I113">
        <v>22928.55078125</v>
      </c>
      <c r="J113">
        <v>60479.76171875</v>
      </c>
      <c r="K113">
        <v>56738.25390625</v>
      </c>
      <c r="L113">
        <v>59029.1015625</v>
      </c>
      <c r="M113">
        <v>75679.015625</v>
      </c>
      <c r="N113">
        <v>10929.0029296875</v>
      </c>
      <c r="O113">
        <v>47905.46875</v>
      </c>
      <c r="P113">
        <v>34380.4140625</v>
      </c>
      <c r="Q113">
        <v>23543.6015625</v>
      </c>
    </row>
    <row r="114" spans="1:17" x14ac:dyDescent="0.45">
      <c r="A114">
        <v>113</v>
      </c>
      <c r="B114" s="1">
        <v>41283</v>
      </c>
      <c r="C114" s="2">
        <v>0.35416666666666669</v>
      </c>
      <c r="D114">
        <v>27488.4921875</v>
      </c>
      <c r="E114">
        <v>11912.5419921875</v>
      </c>
      <c r="F114">
        <v>13507.0400390625</v>
      </c>
      <c r="G114">
        <v>24669.5859375</v>
      </c>
      <c r="H114">
        <v>23894.470703125</v>
      </c>
      <c r="I114">
        <v>18249.60546875</v>
      </c>
      <c r="J114">
        <v>53308.453125</v>
      </c>
      <c r="K114">
        <v>45594.27734375</v>
      </c>
      <c r="L114">
        <v>51670.12890625</v>
      </c>
      <c r="M114">
        <v>65356.9140625</v>
      </c>
      <c r="N114">
        <v>11475.935546875</v>
      </c>
      <c r="O114">
        <v>37083.9609375</v>
      </c>
      <c r="P114">
        <v>34856.5</v>
      </c>
      <c r="Q114">
        <v>20036.462890625</v>
      </c>
    </row>
    <row r="115" spans="1:17" x14ac:dyDescent="0.45">
      <c r="A115">
        <v>114</v>
      </c>
      <c r="B115" s="1">
        <v>41283</v>
      </c>
      <c r="C115" s="2">
        <v>0.375</v>
      </c>
      <c r="D115">
        <v>25491.015625</v>
      </c>
      <c r="E115">
        <v>8906.048828125</v>
      </c>
      <c r="F115">
        <v>8401.1220703125</v>
      </c>
      <c r="G115">
        <v>18981.560546875</v>
      </c>
      <c r="H115">
        <v>22308</v>
      </c>
      <c r="I115">
        <v>17531.462890625</v>
      </c>
      <c r="J115">
        <v>44446.3671875</v>
      </c>
      <c r="K115">
        <v>30610.927734375</v>
      </c>
      <c r="L115">
        <v>45484.33203125</v>
      </c>
      <c r="M115">
        <v>51430.16015625</v>
      </c>
      <c r="N115">
        <v>9016.8193359375</v>
      </c>
      <c r="O115">
        <v>29445.5</v>
      </c>
      <c r="P115">
        <v>34996.52734375</v>
      </c>
      <c r="Q115">
        <v>11873.8310546875</v>
      </c>
    </row>
    <row r="116" spans="1:17" x14ac:dyDescent="0.45">
      <c r="A116">
        <v>115</v>
      </c>
      <c r="B116" s="1">
        <v>41283</v>
      </c>
      <c r="C116" s="2">
        <v>0.39583333333333331</v>
      </c>
      <c r="D116">
        <v>19235.458984375</v>
      </c>
      <c r="E116">
        <v>4927.66650390625</v>
      </c>
      <c r="F116">
        <v>1225.220703125</v>
      </c>
      <c r="G116">
        <v>15272.033203125</v>
      </c>
      <c r="H116">
        <v>13090.705078125</v>
      </c>
      <c r="I116">
        <v>7505.4814453125</v>
      </c>
      <c r="J116">
        <v>29730.927734375</v>
      </c>
      <c r="K116">
        <v>13468.806640625</v>
      </c>
      <c r="L116">
        <v>32589.927734375</v>
      </c>
      <c r="M116">
        <v>31490.21484375</v>
      </c>
      <c r="N116">
        <v>7940.484375</v>
      </c>
      <c r="O116">
        <v>15110.876953125</v>
      </c>
      <c r="P116">
        <v>31683.7109375</v>
      </c>
      <c r="Q116">
        <v>6228.01025390625</v>
      </c>
    </row>
    <row r="117" spans="1:17" x14ac:dyDescent="0.45">
      <c r="A117">
        <v>116</v>
      </c>
      <c r="B117" s="1">
        <v>41283</v>
      </c>
      <c r="C117" s="2">
        <v>0.41666666666666669</v>
      </c>
      <c r="D117">
        <v>11018.50390625</v>
      </c>
      <c r="E117">
        <v>-1709.61791992187</v>
      </c>
      <c r="F117">
        <v>-598.35308837890602</v>
      </c>
      <c r="G117">
        <v>6506.01318359375</v>
      </c>
      <c r="H117">
        <v>2054.73852539062</v>
      </c>
      <c r="I117">
        <v>3872.76708984375</v>
      </c>
      <c r="J117">
        <v>13591.9091796875</v>
      </c>
      <c r="K117">
        <v>-1872.66870117187</v>
      </c>
      <c r="L117">
        <v>12433.0244140625</v>
      </c>
      <c r="M117">
        <v>11286.2353515625</v>
      </c>
      <c r="N117">
        <v>1432.44848632812</v>
      </c>
      <c r="O117">
        <v>6073.9619140625</v>
      </c>
      <c r="P117">
        <v>32141.82421875</v>
      </c>
      <c r="Q117">
        <v>748.24169921875</v>
      </c>
    </row>
    <row r="118" spans="1:17" x14ac:dyDescent="0.45">
      <c r="A118">
        <v>117</v>
      </c>
      <c r="B118" s="1">
        <v>41283</v>
      </c>
      <c r="C118" s="2">
        <v>0.4375</v>
      </c>
      <c r="D118">
        <v>11281.7080078125</v>
      </c>
      <c r="E118">
        <v>-1493.88195800781</v>
      </c>
      <c r="F118">
        <v>-142.06277465820301</v>
      </c>
      <c r="G118">
        <v>5197.64990234375</v>
      </c>
      <c r="H118">
        <v>1750.62854003906</v>
      </c>
      <c r="I118">
        <v>-56.0110664367675</v>
      </c>
      <c r="J118">
        <v>12642.9384765625</v>
      </c>
      <c r="K118">
        <v>-13892.9609375</v>
      </c>
      <c r="L118">
        <v>15911.8701171875</v>
      </c>
      <c r="M118">
        <v>-2758.54516601562</v>
      </c>
      <c r="N118">
        <v>1218.38122558593</v>
      </c>
      <c r="O118">
        <v>84.027153015136705</v>
      </c>
      <c r="P118">
        <v>28058.826171875</v>
      </c>
      <c r="Q118">
        <v>-8814.8486328125</v>
      </c>
    </row>
    <row r="119" spans="1:17" x14ac:dyDescent="0.45">
      <c r="A119">
        <v>118</v>
      </c>
      <c r="B119" s="1">
        <v>41283</v>
      </c>
      <c r="C119" s="2">
        <v>0.45833333333333331</v>
      </c>
      <c r="D119">
        <v>2838.73803710937</v>
      </c>
      <c r="E119">
        <v>-6345.21337890625</v>
      </c>
      <c r="F119">
        <v>-4449.94189453125</v>
      </c>
      <c r="G119">
        <v>1530.07788085937</v>
      </c>
      <c r="H119">
        <v>-12032.2138671875</v>
      </c>
      <c r="I119">
        <v>-2686.53100585937</v>
      </c>
      <c r="J119">
        <v>-5017.16552734375</v>
      </c>
      <c r="K119">
        <v>-21312.591796875</v>
      </c>
      <c r="L119">
        <v>646.15716552734295</v>
      </c>
      <c r="M119">
        <v>-16021.166015625</v>
      </c>
      <c r="N119">
        <v>-3034.94970703125</v>
      </c>
      <c r="O119">
        <v>-9515.0810546875</v>
      </c>
      <c r="P119">
        <v>29701.228515625</v>
      </c>
      <c r="Q119">
        <v>-11287.65625</v>
      </c>
    </row>
    <row r="120" spans="1:17" x14ac:dyDescent="0.45">
      <c r="A120">
        <v>119</v>
      </c>
      <c r="B120" s="1">
        <v>41283</v>
      </c>
      <c r="C120" s="2">
        <v>0.47916666666666669</v>
      </c>
      <c r="D120">
        <v>-1817.24230957031</v>
      </c>
      <c r="E120">
        <v>-7846.130859375</v>
      </c>
      <c r="F120">
        <v>-9653.927734375</v>
      </c>
      <c r="G120">
        <v>-2430.94555664062</v>
      </c>
      <c r="H120">
        <v>-17388.275390625</v>
      </c>
      <c r="I120">
        <v>-1990.38684082031</v>
      </c>
      <c r="J120">
        <v>-16649.916015625</v>
      </c>
      <c r="K120">
        <v>-23981.369140625</v>
      </c>
      <c r="L120">
        <v>-12101.541015625</v>
      </c>
      <c r="M120">
        <v>-23454.55859375</v>
      </c>
      <c r="N120">
        <v>-4377.36962890625</v>
      </c>
      <c r="O120">
        <v>-13334.3115234375</v>
      </c>
      <c r="P120">
        <v>29979.287109375</v>
      </c>
      <c r="Q120">
        <v>-16281.2646484375</v>
      </c>
    </row>
    <row r="121" spans="1:17" x14ac:dyDescent="0.45">
      <c r="A121">
        <v>120</v>
      </c>
      <c r="B121" s="1">
        <v>41283</v>
      </c>
      <c r="C121" s="2">
        <v>0.5</v>
      </c>
      <c r="D121">
        <v>-2589.03979492187</v>
      </c>
      <c r="E121">
        <v>-6872.64013671875</v>
      </c>
      <c r="F121">
        <v>-13592.3896484375</v>
      </c>
      <c r="G121">
        <v>3775.20385742187</v>
      </c>
      <c r="H121">
        <v>-21427.40625</v>
      </c>
      <c r="I121">
        <v>-4116.814453125</v>
      </c>
      <c r="J121">
        <v>-16489.841796875</v>
      </c>
      <c r="K121">
        <v>-24912.890625</v>
      </c>
      <c r="L121">
        <v>-13559.2822265625</v>
      </c>
      <c r="M121">
        <v>-18845.728515625</v>
      </c>
      <c r="N121">
        <v>-9476.9716796875</v>
      </c>
      <c r="O121">
        <v>-12657.3974609375</v>
      </c>
      <c r="P121">
        <v>31581.646484375</v>
      </c>
      <c r="Q121">
        <v>-15337.6923828125</v>
      </c>
    </row>
    <row r="122" spans="1:17" x14ac:dyDescent="0.45">
      <c r="A122">
        <v>121</v>
      </c>
      <c r="B122" s="1">
        <v>41283</v>
      </c>
      <c r="C122" s="2">
        <v>0.52083333333333337</v>
      </c>
      <c r="D122">
        <v>-5833.40576171875</v>
      </c>
      <c r="E122">
        <v>-11228.8095703125</v>
      </c>
      <c r="F122">
        <v>-14141.0498046875</v>
      </c>
      <c r="G122">
        <v>2968.92333984375</v>
      </c>
      <c r="H122">
        <v>-28988.2421875</v>
      </c>
      <c r="I122">
        <v>-5731.13330078125</v>
      </c>
      <c r="J122">
        <v>-24947.80859375</v>
      </c>
      <c r="K122">
        <v>-27289.744140625</v>
      </c>
      <c r="L122">
        <v>-21029.09375</v>
      </c>
      <c r="M122">
        <v>-23342.615234375</v>
      </c>
      <c r="N122">
        <v>-9214.888671875</v>
      </c>
      <c r="O122">
        <v>-19096.16015625</v>
      </c>
      <c r="P122">
        <v>35056.49609375</v>
      </c>
      <c r="Q122">
        <v>-13816.45703125</v>
      </c>
    </row>
    <row r="123" spans="1:17" x14ac:dyDescent="0.45">
      <c r="A123">
        <v>122</v>
      </c>
      <c r="B123" s="1">
        <v>41283</v>
      </c>
      <c r="C123" s="2">
        <v>0.54166666666666663</v>
      </c>
      <c r="D123">
        <v>-11236.3837890625</v>
      </c>
      <c r="E123">
        <v>-8606.181640625</v>
      </c>
      <c r="F123">
        <v>-20533.38671875</v>
      </c>
      <c r="G123">
        <v>266.08251953125</v>
      </c>
      <c r="H123">
        <v>-30219.234375</v>
      </c>
      <c r="I123">
        <v>-12396.4638671875</v>
      </c>
      <c r="J123">
        <v>-32423.580078125</v>
      </c>
      <c r="K123">
        <v>-42847.30078125</v>
      </c>
      <c r="L123">
        <v>-27748.71875</v>
      </c>
      <c r="M123">
        <v>-40432.03515625</v>
      </c>
      <c r="N123">
        <v>-5975.875</v>
      </c>
      <c r="O123">
        <v>-34078.98828125</v>
      </c>
      <c r="P123">
        <v>34356.3203125</v>
      </c>
      <c r="Q123">
        <v>-20850.7265625</v>
      </c>
    </row>
    <row r="124" spans="1:17" x14ac:dyDescent="0.45">
      <c r="A124">
        <v>123</v>
      </c>
      <c r="B124" s="1">
        <v>41283</v>
      </c>
      <c r="C124" s="2">
        <v>0.5625</v>
      </c>
      <c r="D124">
        <v>-15724.4013671875</v>
      </c>
      <c r="E124">
        <v>-10093.7265625</v>
      </c>
      <c r="F124">
        <v>-21483.517578125</v>
      </c>
      <c r="G124">
        <v>-13488.103515625</v>
      </c>
      <c r="H124">
        <v>-29286.1953125</v>
      </c>
      <c r="I124">
        <v>-12952.5615234375</v>
      </c>
      <c r="J124">
        <v>-40209.34375</v>
      </c>
      <c r="K124">
        <v>-49865.80078125</v>
      </c>
      <c r="L124">
        <v>-35568.60546875</v>
      </c>
      <c r="M124">
        <v>-53668.61328125</v>
      </c>
      <c r="N124">
        <v>-5473.71533203125</v>
      </c>
      <c r="O124">
        <v>-32742.568359375</v>
      </c>
      <c r="P124">
        <v>30775.451171875</v>
      </c>
      <c r="Q124">
        <v>-19918.427734375</v>
      </c>
    </row>
    <row r="125" spans="1:17" x14ac:dyDescent="0.45">
      <c r="A125">
        <v>124</v>
      </c>
      <c r="B125" s="1">
        <v>41283</v>
      </c>
      <c r="C125" s="2">
        <v>0.58333333333333337</v>
      </c>
      <c r="D125">
        <v>-7494.1376953125</v>
      </c>
      <c r="E125">
        <v>-349.91323852539</v>
      </c>
      <c r="F125">
        <v>-16530.07421875</v>
      </c>
      <c r="G125">
        <v>-11613.173828125</v>
      </c>
      <c r="H125">
        <v>-8717.029296875</v>
      </c>
      <c r="I125">
        <v>-6925.39501953125</v>
      </c>
      <c r="J125">
        <v>-17210.03125</v>
      </c>
      <c r="K125">
        <v>-37417.359375</v>
      </c>
      <c r="L125">
        <v>-13869.3720703125</v>
      </c>
      <c r="M125">
        <v>-36637.3828125</v>
      </c>
      <c r="N125">
        <v>900.082763671875</v>
      </c>
      <c r="O125">
        <v>-13832.46484375</v>
      </c>
      <c r="P125">
        <v>27580.69921875</v>
      </c>
      <c r="Q125">
        <v>-13446.3408203125</v>
      </c>
    </row>
    <row r="126" spans="1:17" x14ac:dyDescent="0.45">
      <c r="A126">
        <v>125</v>
      </c>
      <c r="B126" s="1">
        <v>41283</v>
      </c>
      <c r="C126" s="2">
        <v>0.60416666666666663</v>
      </c>
      <c r="D126">
        <v>-12755.4375</v>
      </c>
      <c r="E126">
        <v>-1456.78723144531</v>
      </c>
      <c r="F126">
        <v>-15415.88671875</v>
      </c>
      <c r="G126">
        <v>-12491.900390625</v>
      </c>
      <c r="H126">
        <v>-18082.443359375</v>
      </c>
      <c r="I126">
        <v>-7563.4892578125</v>
      </c>
      <c r="J126">
        <v>-23885.537109375</v>
      </c>
      <c r="K126">
        <v>-38449.72265625</v>
      </c>
      <c r="L126">
        <v>-24113.84765625</v>
      </c>
      <c r="M126">
        <v>-41674.24609375</v>
      </c>
      <c r="N126">
        <v>-5343.67333984375</v>
      </c>
      <c r="O126">
        <v>-13812.462890625</v>
      </c>
      <c r="P126">
        <v>28546.923828125</v>
      </c>
      <c r="Q126">
        <v>-14326.62890625</v>
      </c>
    </row>
    <row r="127" spans="1:17" x14ac:dyDescent="0.45">
      <c r="A127">
        <v>126</v>
      </c>
      <c r="B127" s="1">
        <v>41283</v>
      </c>
      <c r="C127" s="2">
        <v>0.625</v>
      </c>
      <c r="D127">
        <v>-11925.412109375</v>
      </c>
      <c r="E127">
        <v>-865.9072265625</v>
      </c>
      <c r="F127">
        <v>-15641.658203125</v>
      </c>
      <c r="G127">
        <v>-9771.0966796875</v>
      </c>
      <c r="H127">
        <v>-18918.841796875</v>
      </c>
      <c r="I127">
        <v>-5927.17626953125</v>
      </c>
      <c r="J127">
        <v>-23207.392578125</v>
      </c>
      <c r="K127">
        <v>-35978.84765625</v>
      </c>
      <c r="L127">
        <v>-22021.353515625</v>
      </c>
      <c r="M127">
        <v>-39565.8515625</v>
      </c>
      <c r="N127">
        <v>-2170.67919921875</v>
      </c>
      <c r="O127">
        <v>-16761.41796875</v>
      </c>
      <c r="P127">
        <v>31094.857421875</v>
      </c>
      <c r="Q127">
        <v>-15202.9150390625</v>
      </c>
    </row>
    <row r="128" spans="1:17" x14ac:dyDescent="0.45">
      <c r="A128">
        <v>127</v>
      </c>
      <c r="B128" s="1">
        <v>41283</v>
      </c>
      <c r="C128" s="2">
        <v>0.64583333333333337</v>
      </c>
      <c r="D128">
        <v>-11389.537109375</v>
      </c>
      <c r="E128">
        <v>1000.32458496093</v>
      </c>
      <c r="F128">
        <v>-15068.5302734375</v>
      </c>
      <c r="G128">
        <v>710.21929931640602</v>
      </c>
      <c r="H128">
        <v>-14100.92578125</v>
      </c>
      <c r="I128">
        <v>6.0011844635009703</v>
      </c>
      <c r="J128">
        <v>-19728.583984375</v>
      </c>
      <c r="K128">
        <v>-15003.3798828125</v>
      </c>
      <c r="L128">
        <v>-12274.982421875</v>
      </c>
      <c r="M128">
        <v>-16157.189453125</v>
      </c>
      <c r="N128">
        <v>-3921.2255859375</v>
      </c>
      <c r="O128">
        <v>-5241.69482421875</v>
      </c>
      <c r="P128">
        <v>34610.4140625</v>
      </c>
      <c r="Q128">
        <v>-9943.2158203125</v>
      </c>
    </row>
    <row r="129" spans="1:17" x14ac:dyDescent="0.45">
      <c r="A129">
        <v>128</v>
      </c>
      <c r="B129" s="1">
        <v>41283</v>
      </c>
      <c r="C129" s="2">
        <v>0.66666666666666663</v>
      </c>
      <c r="D129">
        <v>307.84506225585898</v>
      </c>
      <c r="E129">
        <v>6964.330078125</v>
      </c>
      <c r="F129">
        <v>-2164.982421875</v>
      </c>
      <c r="G129">
        <v>11251.576171875</v>
      </c>
      <c r="H129">
        <v>2243.89233398437</v>
      </c>
      <c r="I129">
        <v>4042.79223632812</v>
      </c>
      <c r="J129">
        <v>10348.408203125</v>
      </c>
      <c r="K129">
        <v>5788.0654296875</v>
      </c>
      <c r="L129">
        <v>13709.3203125</v>
      </c>
      <c r="M129">
        <v>11304.2158203125</v>
      </c>
      <c r="N129">
        <v>390.122314453125</v>
      </c>
      <c r="O129">
        <v>17497.640625</v>
      </c>
      <c r="P129">
        <v>32160.791015625</v>
      </c>
      <c r="Q129">
        <v>-604.19476318359295</v>
      </c>
    </row>
    <row r="130" spans="1:17" x14ac:dyDescent="0.45">
      <c r="A130">
        <v>129</v>
      </c>
      <c r="B130" s="1">
        <v>41283</v>
      </c>
      <c r="C130" s="2">
        <v>0.6875</v>
      </c>
      <c r="D130">
        <v>8715.623046875</v>
      </c>
      <c r="E130">
        <v>7037.3564453125</v>
      </c>
      <c r="F130">
        <v>5251.6259765625</v>
      </c>
      <c r="G130">
        <v>9653.0419921875</v>
      </c>
      <c r="H130">
        <v>9795.453125</v>
      </c>
      <c r="I130">
        <v>10552.08203125</v>
      </c>
      <c r="J130">
        <v>22975.359375</v>
      </c>
      <c r="K130">
        <v>9133.259765625</v>
      </c>
      <c r="L130">
        <v>22275.408203125</v>
      </c>
      <c r="M130">
        <v>16749.3046875</v>
      </c>
      <c r="N130">
        <v>4107.287109375</v>
      </c>
      <c r="O130">
        <v>24169.794921875</v>
      </c>
      <c r="P130">
        <v>28166.83984375</v>
      </c>
      <c r="Q130">
        <v>614.19805908203102</v>
      </c>
    </row>
    <row r="131" spans="1:17" x14ac:dyDescent="0.45">
      <c r="A131">
        <v>130</v>
      </c>
      <c r="B131" s="1">
        <v>41283</v>
      </c>
      <c r="C131" s="2">
        <v>0.70833333333333337</v>
      </c>
      <c r="D131">
        <v>11517.6396484375</v>
      </c>
      <c r="E131">
        <v>9704.6220703125</v>
      </c>
      <c r="F131">
        <v>7870.23291015625</v>
      </c>
      <c r="G131">
        <v>16140.9453125</v>
      </c>
      <c r="H131">
        <v>14077.224609375</v>
      </c>
      <c r="I131">
        <v>13502.6650390625</v>
      </c>
      <c r="J131">
        <v>29290.828125</v>
      </c>
      <c r="K131">
        <v>28082.0234375</v>
      </c>
      <c r="L131">
        <v>30413.390625</v>
      </c>
      <c r="M131">
        <v>36469.19140625</v>
      </c>
      <c r="N131">
        <v>5285.6552734375</v>
      </c>
      <c r="O131">
        <v>34461.1171875</v>
      </c>
      <c r="P131">
        <v>35956.7421875</v>
      </c>
      <c r="Q131">
        <v>12153.9208984375</v>
      </c>
    </row>
    <row r="132" spans="1:17" x14ac:dyDescent="0.45">
      <c r="A132">
        <v>131</v>
      </c>
      <c r="B132" s="1">
        <v>41283</v>
      </c>
      <c r="C132" s="2">
        <v>0.72916666666666663</v>
      </c>
      <c r="D132">
        <v>23509.357421875</v>
      </c>
      <c r="E132">
        <v>16559.58203125</v>
      </c>
      <c r="F132">
        <v>16541.4609375</v>
      </c>
      <c r="G132">
        <v>25545.935546875</v>
      </c>
      <c r="H132">
        <v>26639.533203125</v>
      </c>
      <c r="I132">
        <v>17747.505859375</v>
      </c>
      <c r="J132">
        <v>52750.31640625</v>
      </c>
      <c r="K132">
        <v>37117.2578125</v>
      </c>
      <c r="L132">
        <v>51560.5546875</v>
      </c>
      <c r="M132">
        <v>47529.38671875</v>
      </c>
      <c r="N132">
        <v>12325.931640625</v>
      </c>
      <c r="O132">
        <v>40645.11328125</v>
      </c>
      <c r="P132">
        <v>34126.7578125</v>
      </c>
      <c r="Q132">
        <v>11313.650390625</v>
      </c>
    </row>
    <row r="133" spans="1:17" x14ac:dyDescent="0.45">
      <c r="A133">
        <v>132</v>
      </c>
      <c r="B133" s="1">
        <v>41283</v>
      </c>
      <c r="C133" s="2">
        <v>0.75</v>
      </c>
      <c r="D133">
        <v>36337.94921875</v>
      </c>
      <c r="E133">
        <v>22570.806640625</v>
      </c>
      <c r="F133">
        <v>23195.927734375</v>
      </c>
      <c r="G133">
        <v>35249.1171875</v>
      </c>
      <c r="H133">
        <v>49062.16796875</v>
      </c>
      <c r="I133">
        <v>29233.76171875</v>
      </c>
      <c r="J133">
        <v>76265.8359375</v>
      </c>
      <c r="K133">
        <v>71155.3671875</v>
      </c>
      <c r="L133">
        <v>80899.7265625</v>
      </c>
      <c r="M133">
        <v>87763.296875</v>
      </c>
      <c r="N133">
        <v>22427.0078125</v>
      </c>
      <c r="O133">
        <v>61159.69140625</v>
      </c>
      <c r="P133">
        <v>37901.24609375</v>
      </c>
      <c r="Q133">
        <v>26168.42578125</v>
      </c>
    </row>
    <row r="134" spans="1:17" x14ac:dyDescent="0.45">
      <c r="A134">
        <v>133</v>
      </c>
      <c r="B134" s="1">
        <v>41283</v>
      </c>
      <c r="C134" s="2">
        <v>0.77083333333333337</v>
      </c>
      <c r="D134">
        <v>50734.6484375</v>
      </c>
      <c r="E134">
        <v>30849.900390625</v>
      </c>
      <c r="F134">
        <v>30281.052734375</v>
      </c>
      <c r="G134">
        <v>45515.91796875</v>
      </c>
      <c r="H134">
        <v>71699.4609375</v>
      </c>
      <c r="I134">
        <v>34242.6171875</v>
      </c>
      <c r="J134">
        <v>107982.84375</v>
      </c>
      <c r="K134">
        <v>100892</v>
      </c>
      <c r="L134">
        <v>111327.28125</v>
      </c>
      <c r="M134">
        <v>128152.7578125</v>
      </c>
      <c r="N134">
        <v>30297.42578125</v>
      </c>
      <c r="O134">
        <v>76724.6875</v>
      </c>
      <c r="P134">
        <v>49088.03515625</v>
      </c>
      <c r="Q134">
        <v>40656.6171875</v>
      </c>
    </row>
    <row r="135" spans="1:17" x14ac:dyDescent="0.45">
      <c r="A135">
        <v>134</v>
      </c>
      <c r="B135" s="1">
        <v>41283</v>
      </c>
      <c r="C135" s="2">
        <v>0.79166666666666663</v>
      </c>
      <c r="D135">
        <v>56459.3203125</v>
      </c>
      <c r="E135">
        <v>31197.921875</v>
      </c>
      <c r="F135">
        <v>32246.716796875</v>
      </c>
      <c r="G135">
        <v>49973.671875</v>
      </c>
      <c r="H135">
        <v>75382.71875</v>
      </c>
      <c r="I135">
        <v>33000.375</v>
      </c>
      <c r="J135">
        <v>119379.4296875</v>
      </c>
      <c r="K135">
        <v>106742.046875</v>
      </c>
      <c r="L135">
        <v>119737.296875</v>
      </c>
      <c r="M135">
        <v>142883.609375</v>
      </c>
      <c r="N135">
        <v>28252.787109375</v>
      </c>
      <c r="O135">
        <v>81190.203125</v>
      </c>
      <c r="P135">
        <v>49450.08984375</v>
      </c>
      <c r="Q135">
        <v>46042.86328125</v>
      </c>
    </row>
    <row r="136" spans="1:17" x14ac:dyDescent="0.45">
      <c r="A136">
        <v>135</v>
      </c>
      <c r="B136" s="1">
        <v>41283</v>
      </c>
      <c r="C136" s="2">
        <v>0.8125</v>
      </c>
      <c r="D136">
        <v>58027.07421875</v>
      </c>
      <c r="E136">
        <v>28974.279296875</v>
      </c>
      <c r="F136">
        <v>31690.30078125</v>
      </c>
      <c r="G136">
        <v>48243.171875</v>
      </c>
      <c r="H136">
        <v>72937.984375</v>
      </c>
      <c r="I136">
        <v>34274.7109375</v>
      </c>
      <c r="J136">
        <v>116972.5390625</v>
      </c>
      <c r="K136">
        <v>99501.5234375</v>
      </c>
      <c r="L136">
        <v>119176.953125</v>
      </c>
      <c r="M136">
        <v>138853.1875</v>
      </c>
      <c r="N136">
        <v>27122.486328125</v>
      </c>
      <c r="O136">
        <v>76136.6015625</v>
      </c>
      <c r="P136">
        <v>42888.53125</v>
      </c>
      <c r="Q136">
        <v>42741.79296875</v>
      </c>
    </row>
    <row r="137" spans="1:17" x14ac:dyDescent="0.45">
      <c r="A137">
        <v>136</v>
      </c>
      <c r="B137" s="1">
        <v>41283</v>
      </c>
      <c r="C137" s="2">
        <v>0.83333333333333337</v>
      </c>
      <c r="D137">
        <v>51874.3125</v>
      </c>
      <c r="E137">
        <v>29268.76171875</v>
      </c>
      <c r="F137">
        <v>34181.5</v>
      </c>
      <c r="G137">
        <v>45632.375</v>
      </c>
      <c r="H137">
        <v>68502.4453125</v>
      </c>
      <c r="I137">
        <v>33730.13671875</v>
      </c>
      <c r="J137">
        <v>113631.7265625</v>
      </c>
      <c r="K137">
        <v>100105.671875</v>
      </c>
      <c r="L137">
        <v>113763.5546875</v>
      </c>
      <c r="M137">
        <v>130783.796875</v>
      </c>
      <c r="N137">
        <v>26588.291015625</v>
      </c>
      <c r="O137">
        <v>81306.2734375</v>
      </c>
      <c r="P137">
        <v>41422.41015625</v>
      </c>
      <c r="Q137">
        <v>41531.421875</v>
      </c>
    </row>
    <row r="138" spans="1:17" x14ac:dyDescent="0.45">
      <c r="A138">
        <v>137</v>
      </c>
      <c r="B138" s="1">
        <v>41283</v>
      </c>
      <c r="C138" s="2">
        <v>0.85416666666666663</v>
      </c>
      <c r="D138">
        <v>51690.65234375</v>
      </c>
      <c r="E138">
        <v>29191.67578125</v>
      </c>
      <c r="F138">
        <v>33904.83984375</v>
      </c>
      <c r="G138">
        <v>43890.01953125</v>
      </c>
      <c r="H138">
        <v>70121.609375</v>
      </c>
      <c r="I138">
        <v>34800.9375</v>
      </c>
      <c r="J138">
        <v>111358.25</v>
      </c>
      <c r="K138">
        <v>111625.890625</v>
      </c>
      <c r="L138">
        <v>113204.5</v>
      </c>
      <c r="M138">
        <v>143556.609375</v>
      </c>
      <c r="N138">
        <v>23973.873046875</v>
      </c>
      <c r="O138">
        <v>83997.109375</v>
      </c>
      <c r="P138">
        <v>49016.078125</v>
      </c>
      <c r="Q138">
        <v>52238.86328125</v>
      </c>
    </row>
    <row r="139" spans="1:17" x14ac:dyDescent="0.45">
      <c r="A139">
        <v>138</v>
      </c>
      <c r="B139" s="1">
        <v>41283</v>
      </c>
      <c r="C139" s="2">
        <v>0.875</v>
      </c>
      <c r="D139">
        <v>52710.33203125</v>
      </c>
      <c r="E139">
        <v>29722.6484375</v>
      </c>
      <c r="F139">
        <v>34712.34375</v>
      </c>
      <c r="G139">
        <v>42037.14453125</v>
      </c>
      <c r="H139">
        <v>71344.28125</v>
      </c>
      <c r="I139">
        <v>36061.09765625</v>
      </c>
      <c r="J139">
        <v>114644.875</v>
      </c>
      <c r="K139">
        <v>110935.5859375</v>
      </c>
      <c r="L139">
        <v>113963.875</v>
      </c>
      <c r="M139">
        <v>142260</v>
      </c>
      <c r="N139">
        <v>23647.392578125</v>
      </c>
      <c r="O139">
        <v>88834.6484375</v>
      </c>
      <c r="P139">
        <v>45833.21484375</v>
      </c>
      <c r="Q139">
        <v>50168.1796875</v>
      </c>
    </row>
    <row r="140" spans="1:17" x14ac:dyDescent="0.45">
      <c r="A140">
        <v>139</v>
      </c>
      <c r="B140" s="1">
        <v>41283</v>
      </c>
      <c r="C140" s="2">
        <v>0.89583333333333337</v>
      </c>
      <c r="D140">
        <v>53038.92578125</v>
      </c>
      <c r="E140">
        <v>28986.96484375</v>
      </c>
      <c r="F140">
        <v>32624.501953125</v>
      </c>
      <c r="G140">
        <v>44189.84765625</v>
      </c>
      <c r="H140">
        <v>72788.09375</v>
      </c>
      <c r="I140">
        <v>31540.2109375</v>
      </c>
      <c r="J140">
        <v>112054.2578125</v>
      </c>
      <c r="K140">
        <v>106756.09375</v>
      </c>
      <c r="L140">
        <v>110993.1484375</v>
      </c>
      <c r="M140">
        <v>139721.515625</v>
      </c>
      <c r="N140">
        <v>21934.85546875</v>
      </c>
      <c r="O140">
        <v>82008.4453125</v>
      </c>
      <c r="P140">
        <v>47479.62109375</v>
      </c>
      <c r="Q140">
        <v>46322.94140625</v>
      </c>
    </row>
    <row r="141" spans="1:17" x14ac:dyDescent="0.45">
      <c r="A141">
        <v>140</v>
      </c>
      <c r="B141" s="1">
        <v>41283</v>
      </c>
      <c r="C141" s="2">
        <v>0.91666666666666663</v>
      </c>
      <c r="D141">
        <v>45876.59765625</v>
      </c>
      <c r="E141">
        <v>29089.322265625</v>
      </c>
      <c r="F141">
        <v>30896.337890625</v>
      </c>
      <c r="G141">
        <v>42437.36328125</v>
      </c>
      <c r="H141">
        <v>66076.1015625</v>
      </c>
      <c r="I141">
        <v>31594.2265625</v>
      </c>
      <c r="J141">
        <v>104404.3984375</v>
      </c>
      <c r="K141">
        <v>99061.3515625</v>
      </c>
      <c r="L141">
        <v>104007.484375</v>
      </c>
      <c r="M141">
        <v>126278.875</v>
      </c>
      <c r="N141">
        <v>23251.259765625</v>
      </c>
      <c r="O141">
        <v>76456.6875</v>
      </c>
      <c r="P141">
        <v>42020.29296875</v>
      </c>
      <c r="Q141">
        <v>41245.3671875</v>
      </c>
    </row>
    <row r="142" spans="1:17" x14ac:dyDescent="0.45">
      <c r="A142">
        <v>141</v>
      </c>
      <c r="B142" s="1">
        <v>41283</v>
      </c>
      <c r="C142" s="2">
        <v>0.9375</v>
      </c>
      <c r="D142">
        <v>49915.96484375</v>
      </c>
      <c r="E142">
        <v>28336.892578125</v>
      </c>
      <c r="F142">
        <v>29317.419921875</v>
      </c>
      <c r="G142">
        <v>47533.1015625</v>
      </c>
      <c r="H142">
        <v>68456.609375</v>
      </c>
      <c r="I142">
        <v>29879.986328125</v>
      </c>
      <c r="J142">
        <v>107126.28125</v>
      </c>
      <c r="K142">
        <v>96954.6796875</v>
      </c>
      <c r="L142">
        <v>110535.2109375</v>
      </c>
      <c r="M142">
        <v>130073.234375</v>
      </c>
      <c r="N142">
        <v>23891.44140625</v>
      </c>
      <c r="O142">
        <v>69868.4453125</v>
      </c>
      <c r="P142">
        <v>39403.61328125</v>
      </c>
      <c r="Q142">
        <v>38173.69921875</v>
      </c>
    </row>
    <row r="143" spans="1:17" x14ac:dyDescent="0.45">
      <c r="A143">
        <v>142</v>
      </c>
      <c r="B143" s="1">
        <v>41283</v>
      </c>
      <c r="C143" s="2">
        <v>0.95833333333333337</v>
      </c>
      <c r="D143">
        <v>46657.66015625</v>
      </c>
      <c r="E143">
        <v>27490.380859375</v>
      </c>
      <c r="F143">
        <v>29826.798828125</v>
      </c>
      <c r="G143">
        <v>51388.078125</v>
      </c>
      <c r="H143">
        <v>63216.05078125</v>
      </c>
      <c r="I143">
        <v>27171.3359375</v>
      </c>
      <c r="J143">
        <v>102591.3203125</v>
      </c>
      <c r="K143">
        <v>94553.7734375</v>
      </c>
      <c r="L143">
        <v>107962.453125</v>
      </c>
      <c r="M143">
        <v>125172.5859375</v>
      </c>
      <c r="N143">
        <v>22763.109375</v>
      </c>
      <c r="O143">
        <v>64609.64453125</v>
      </c>
      <c r="P143">
        <v>39765.75</v>
      </c>
      <c r="Q143">
        <v>36182.10546875</v>
      </c>
    </row>
    <row r="144" spans="1:17" x14ac:dyDescent="0.45">
      <c r="A144">
        <v>143</v>
      </c>
      <c r="B144" s="1">
        <v>41283</v>
      </c>
      <c r="C144" s="2">
        <v>0.97916666666666663</v>
      </c>
      <c r="D144">
        <v>38091.734375</v>
      </c>
      <c r="E144">
        <v>28931.80859375</v>
      </c>
      <c r="F144">
        <v>25977.541015625</v>
      </c>
      <c r="G144">
        <v>43345.53125</v>
      </c>
      <c r="H144">
        <v>57446.68359375</v>
      </c>
      <c r="I144">
        <v>25751.072265625</v>
      </c>
      <c r="J144">
        <v>91703.40625</v>
      </c>
      <c r="K144">
        <v>87271.140625</v>
      </c>
      <c r="L144">
        <v>96233.546875</v>
      </c>
      <c r="M144">
        <v>111445.96875</v>
      </c>
      <c r="N144">
        <v>25021.8125</v>
      </c>
      <c r="O144">
        <v>59833.32421875</v>
      </c>
      <c r="P144">
        <v>36712.98828125</v>
      </c>
      <c r="Q144">
        <v>35561.48828125</v>
      </c>
    </row>
    <row r="145" spans="1:17" x14ac:dyDescent="0.45">
      <c r="A145">
        <v>144</v>
      </c>
      <c r="B145" s="1">
        <v>41284</v>
      </c>
      <c r="C145" s="2">
        <v>0</v>
      </c>
      <c r="D145">
        <v>34970.2734375</v>
      </c>
      <c r="E145">
        <v>26133.5</v>
      </c>
      <c r="F145">
        <v>26333.544921875</v>
      </c>
      <c r="G145">
        <v>42431.2265625</v>
      </c>
      <c r="H145">
        <v>50391.796875</v>
      </c>
      <c r="I145">
        <v>24650.90625</v>
      </c>
      <c r="J145">
        <v>85906.109375</v>
      </c>
      <c r="K145">
        <v>80198.6328125</v>
      </c>
      <c r="L145">
        <v>89998.78125</v>
      </c>
      <c r="M145">
        <v>101384.1796875</v>
      </c>
      <c r="N145">
        <v>23769.421875</v>
      </c>
      <c r="O145">
        <v>59177.140625</v>
      </c>
      <c r="P145">
        <v>30871.59765625</v>
      </c>
      <c r="Q145">
        <v>30883.990234375</v>
      </c>
    </row>
    <row r="146" spans="1:17" x14ac:dyDescent="0.45">
      <c r="A146">
        <v>145</v>
      </c>
      <c r="B146" s="1">
        <v>41284</v>
      </c>
      <c r="C146" s="2">
        <v>2.0833333333333332E-2</v>
      </c>
      <c r="D146">
        <v>36845.21875</v>
      </c>
      <c r="E146">
        <v>20165.728515625</v>
      </c>
      <c r="F146">
        <v>23969.458984375</v>
      </c>
      <c r="G146">
        <v>43581.58984375</v>
      </c>
      <c r="H146">
        <v>42645.1171875</v>
      </c>
      <c r="I146">
        <v>25921.115234375</v>
      </c>
      <c r="J146">
        <v>80138.703125</v>
      </c>
      <c r="K146">
        <v>73788.3359375</v>
      </c>
      <c r="L146">
        <v>82848.265625</v>
      </c>
      <c r="M146">
        <v>97799.296875</v>
      </c>
      <c r="N146">
        <v>18929.908203125</v>
      </c>
      <c r="O146">
        <v>55892.0546875</v>
      </c>
      <c r="P146">
        <v>28426.95703125</v>
      </c>
      <c r="Q146">
        <v>25186.138671875</v>
      </c>
    </row>
    <row r="147" spans="1:17" x14ac:dyDescent="0.45">
      <c r="A147">
        <v>146</v>
      </c>
      <c r="B147" s="1">
        <v>41284</v>
      </c>
      <c r="C147" s="2">
        <v>4.1666666666666664E-2</v>
      </c>
      <c r="D147">
        <v>37628.65234375</v>
      </c>
      <c r="E147">
        <v>19156.265625</v>
      </c>
      <c r="F147">
        <v>20689.955078125</v>
      </c>
      <c r="G147">
        <v>37709.7890625</v>
      </c>
      <c r="H147">
        <v>42129.55078125</v>
      </c>
      <c r="I147">
        <v>27131.25</v>
      </c>
      <c r="J147">
        <v>77753.96875</v>
      </c>
      <c r="K147">
        <v>67990.2421875</v>
      </c>
      <c r="L147">
        <v>77208.6875</v>
      </c>
      <c r="M147">
        <v>93464.0859375</v>
      </c>
      <c r="N147">
        <v>16959.55078125</v>
      </c>
      <c r="O147">
        <v>54947.7109375</v>
      </c>
      <c r="P147">
        <v>22239.384765625</v>
      </c>
      <c r="Q147">
        <v>22097.123046875</v>
      </c>
    </row>
    <row r="148" spans="1:17" x14ac:dyDescent="0.45">
      <c r="A148">
        <v>147</v>
      </c>
      <c r="B148" s="1">
        <v>41284</v>
      </c>
      <c r="C148" s="2">
        <v>6.25E-2</v>
      </c>
      <c r="D148">
        <v>29917.634765625</v>
      </c>
      <c r="E148">
        <v>16266.8896484375</v>
      </c>
      <c r="F148">
        <v>19776.421875</v>
      </c>
      <c r="G148">
        <v>30849.54296875</v>
      </c>
      <c r="H148">
        <v>38304.328125</v>
      </c>
      <c r="I148">
        <v>20668.103515625</v>
      </c>
      <c r="J148">
        <v>66575.1640625</v>
      </c>
      <c r="K148">
        <v>63300.5859375</v>
      </c>
      <c r="L148">
        <v>66718.9765625</v>
      </c>
      <c r="M148">
        <v>81920.265625</v>
      </c>
      <c r="N148">
        <v>15423.4140625</v>
      </c>
      <c r="O148">
        <v>46290.9375</v>
      </c>
      <c r="P148">
        <v>23141.654296875</v>
      </c>
      <c r="Q148">
        <v>23795.67578125</v>
      </c>
    </row>
    <row r="149" spans="1:17" x14ac:dyDescent="0.45">
      <c r="A149">
        <v>148</v>
      </c>
      <c r="B149" s="1">
        <v>41284</v>
      </c>
      <c r="C149" s="2">
        <v>8.3333333333333329E-2</v>
      </c>
      <c r="D149">
        <v>29359.392578125</v>
      </c>
      <c r="E149">
        <v>15659.94140625</v>
      </c>
      <c r="F149">
        <v>19085.966796875</v>
      </c>
      <c r="G149">
        <v>28102.66796875</v>
      </c>
      <c r="H149">
        <v>37879.671875</v>
      </c>
      <c r="I149">
        <v>20572.087890625</v>
      </c>
      <c r="J149">
        <v>64859.19140625</v>
      </c>
      <c r="K149">
        <v>61065.81640625</v>
      </c>
      <c r="L149">
        <v>63693.03125</v>
      </c>
      <c r="M149">
        <v>78875.671875</v>
      </c>
      <c r="N149">
        <v>14219.9208984375</v>
      </c>
      <c r="O149">
        <v>45474.671875</v>
      </c>
      <c r="P149">
        <v>22479.50390625</v>
      </c>
      <c r="Q149">
        <v>22623.30078125</v>
      </c>
    </row>
    <row r="150" spans="1:17" x14ac:dyDescent="0.45">
      <c r="A150">
        <v>149</v>
      </c>
      <c r="B150" s="1">
        <v>41284</v>
      </c>
      <c r="C150" s="2">
        <v>0.10416666666666667</v>
      </c>
      <c r="D150">
        <v>28427.966796875</v>
      </c>
      <c r="E150">
        <v>16126.9521484375</v>
      </c>
      <c r="F150">
        <v>22468.8984375</v>
      </c>
      <c r="G150">
        <v>26604.349609375</v>
      </c>
      <c r="H150">
        <v>39798.015625</v>
      </c>
      <c r="I150">
        <v>23190.265625</v>
      </c>
      <c r="J150">
        <v>67213.9921875</v>
      </c>
      <c r="K150">
        <v>62391.35546875</v>
      </c>
      <c r="L150">
        <v>64109.8046875</v>
      </c>
      <c r="M150">
        <v>77314.2109375</v>
      </c>
      <c r="N150">
        <v>14970.6611328125</v>
      </c>
      <c r="O150">
        <v>50730.34765625</v>
      </c>
      <c r="P150">
        <v>20078.953125</v>
      </c>
      <c r="Q150">
        <v>20524.615234375</v>
      </c>
    </row>
    <row r="151" spans="1:17" x14ac:dyDescent="0.45">
      <c r="A151">
        <v>150</v>
      </c>
      <c r="B151" s="1">
        <v>41284</v>
      </c>
      <c r="C151" s="2">
        <v>0.125</v>
      </c>
      <c r="D151">
        <v>26948.193359375</v>
      </c>
      <c r="E151">
        <v>12359.1435546875</v>
      </c>
      <c r="F151">
        <v>19625.32421875</v>
      </c>
      <c r="G151">
        <v>27513.98828125</v>
      </c>
      <c r="H151">
        <v>33047.29296875</v>
      </c>
      <c r="I151">
        <v>22440.359375</v>
      </c>
      <c r="J151">
        <v>59195.87109375</v>
      </c>
      <c r="K151">
        <v>60163.58203125</v>
      </c>
      <c r="L151">
        <v>58340.28515625</v>
      </c>
      <c r="M151">
        <v>74210.7890625</v>
      </c>
      <c r="N151">
        <v>13030.078125</v>
      </c>
      <c r="O151">
        <v>45350.66015625</v>
      </c>
      <c r="P151">
        <v>19832.857421875</v>
      </c>
      <c r="Q151">
        <v>19236.21875</v>
      </c>
    </row>
    <row r="152" spans="1:17" x14ac:dyDescent="0.45">
      <c r="A152">
        <v>151</v>
      </c>
      <c r="B152" s="1">
        <v>41284</v>
      </c>
      <c r="C152" s="2">
        <v>0.14583333333333334</v>
      </c>
      <c r="D152">
        <v>25076.279296875</v>
      </c>
      <c r="E152">
        <v>13063.3427734375</v>
      </c>
      <c r="F152">
        <v>20454.359375</v>
      </c>
      <c r="G152">
        <v>27969.837890625</v>
      </c>
      <c r="H152">
        <v>33706.09375</v>
      </c>
      <c r="I152">
        <v>21822.3046875</v>
      </c>
      <c r="J152">
        <v>58175.56640625</v>
      </c>
      <c r="K152">
        <v>62166.18359375</v>
      </c>
      <c r="L152">
        <v>58136.1796875</v>
      </c>
      <c r="M152">
        <v>74612.71875</v>
      </c>
      <c r="N152">
        <v>12950.046875</v>
      </c>
      <c r="O152">
        <v>46110.8828125</v>
      </c>
      <c r="P152">
        <v>21781.31640625</v>
      </c>
      <c r="Q152">
        <v>20116.494140625</v>
      </c>
    </row>
    <row r="153" spans="1:17" x14ac:dyDescent="0.45">
      <c r="A153">
        <v>152</v>
      </c>
      <c r="B153" s="1">
        <v>41284</v>
      </c>
      <c r="C153" s="2">
        <v>0.16666666666666666</v>
      </c>
      <c r="D153">
        <v>25482.060546875</v>
      </c>
      <c r="E153">
        <v>12550.296875</v>
      </c>
      <c r="F153">
        <v>20449.662109375</v>
      </c>
      <c r="G153">
        <v>27962.623046875</v>
      </c>
      <c r="H153">
        <v>33321.69921875</v>
      </c>
      <c r="I153">
        <v>17563.47265625</v>
      </c>
      <c r="J153">
        <v>58607.6640625</v>
      </c>
      <c r="K153">
        <v>56778.23828125</v>
      </c>
      <c r="L153">
        <v>58638.27734375</v>
      </c>
      <c r="M153">
        <v>69981.84375</v>
      </c>
      <c r="N153">
        <v>12241.8251953125</v>
      </c>
      <c r="O153">
        <v>42371.62109375</v>
      </c>
      <c r="P153">
        <v>20689.0390625</v>
      </c>
      <c r="Q153">
        <v>19858.384765625</v>
      </c>
    </row>
    <row r="154" spans="1:17" x14ac:dyDescent="0.45">
      <c r="A154">
        <v>153</v>
      </c>
      <c r="B154" s="1">
        <v>41284</v>
      </c>
      <c r="C154" s="2">
        <v>0.1875</v>
      </c>
      <c r="D154">
        <v>24618.1484375</v>
      </c>
      <c r="E154">
        <v>13111.48828125</v>
      </c>
      <c r="F154">
        <v>19584.5234375</v>
      </c>
      <c r="G154">
        <v>29923.390625</v>
      </c>
      <c r="H154">
        <v>31473.521484375</v>
      </c>
      <c r="I154">
        <v>17527.453125</v>
      </c>
      <c r="J154">
        <v>57525.40625</v>
      </c>
      <c r="K154">
        <v>58060.7265625</v>
      </c>
      <c r="L154">
        <v>58716.33984375</v>
      </c>
      <c r="M154">
        <v>70625.9140625</v>
      </c>
      <c r="N154">
        <v>13396.185546875</v>
      </c>
      <c r="O154">
        <v>41415.75390625</v>
      </c>
      <c r="P154">
        <v>21385.224609375</v>
      </c>
      <c r="Q154">
        <v>20745.884765625</v>
      </c>
    </row>
    <row r="155" spans="1:17" x14ac:dyDescent="0.45">
      <c r="A155">
        <v>154</v>
      </c>
      <c r="B155" s="1">
        <v>41284</v>
      </c>
      <c r="C155" s="2">
        <v>0.20833333333333334</v>
      </c>
      <c r="D155">
        <v>24121.2265625</v>
      </c>
      <c r="E155">
        <v>13346.86328125</v>
      </c>
      <c r="F155">
        <v>17153.224609375</v>
      </c>
      <c r="G155">
        <v>27744.52734375</v>
      </c>
      <c r="H155">
        <v>31124.966796875</v>
      </c>
      <c r="I155">
        <v>16067.2001953125</v>
      </c>
      <c r="J155">
        <v>55267.4609375</v>
      </c>
      <c r="K155">
        <v>54067.296875</v>
      </c>
      <c r="L155">
        <v>56515.80859375</v>
      </c>
      <c r="M155">
        <v>67691.21875</v>
      </c>
      <c r="N155">
        <v>12954.0380859375</v>
      </c>
      <c r="O155">
        <v>37984.3046875</v>
      </c>
      <c r="P155">
        <v>19808.841796875</v>
      </c>
      <c r="Q155">
        <v>19126.16796875</v>
      </c>
    </row>
    <row r="156" spans="1:17" x14ac:dyDescent="0.45">
      <c r="A156">
        <v>155</v>
      </c>
      <c r="B156" s="1">
        <v>41284</v>
      </c>
      <c r="C156" s="2">
        <v>0.22916666666666666</v>
      </c>
      <c r="D156">
        <v>29340.818359375</v>
      </c>
      <c r="E156">
        <v>16491.875</v>
      </c>
      <c r="F156">
        <v>18033.5</v>
      </c>
      <c r="G156">
        <v>29241.27734375</v>
      </c>
      <c r="H156">
        <v>38557.95703125</v>
      </c>
      <c r="I156">
        <v>16091.2158203125</v>
      </c>
      <c r="J156">
        <v>63701.03125</v>
      </c>
      <c r="K156">
        <v>54901.61328125</v>
      </c>
      <c r="L156">
        <v>65968.09375</v>
      </c>
      <c r="M156">
        <v>73728.734375</v>
      </c>
      <c r="N156">
        <v>14530.556640625</v>
      </c>
      <c r="O156">
        <v>41003.2265625</v>
      </c>
      <c r="P156">
        <v>22371.19140625</v>
      </c>
      <c r="Q156">
        <v>21837.044921875</v>
      </c>
    </row>
    <row r="157" spans="1:17" x14ac:dyDescent="0.45">
      <c r="A157">
        <v>156</v>
      </c>
      <c r="B157" s="1">
        <v>41284</v>
      </c>
      <c r="C157" s="2">
        <v>0.25</v>
      </c>
      <c r="D157">
        <v>31230.5703125</v>
      </c>
      <c r="E157">
        <v>17776.626953125</v>
      </c>
      <c r="F157">
        <v>20934.40234375</v>
      </c>
      <c r="G157">
        <v>28948.908203125</v>
      </c>
      <c r="H157">
        <v>43554.40234375</v>
      </c>
      <c r="I157">
        <v>17539.513671875</v>
      </c>
      <c r="J157">
        <v>68179.71875</v>
      </c>
      <c r="K157">
        <v>53921.26171875</v>
      </c>
      <c r="L157">
        <v>70823.4765625</v>
      </c>
      <c r="M157">
        <v>74082.84375</v>
      </c>
      <c r="N157">
        <v>14840.654296875</v>
      </c>
      <c r="O157">
        <v>43726.109375</v>
      </c>
      <c r="P157">
        <v>21501.669921875</v>
      </c>
      <c r="Q157">
        <v>20712.68359375</v>
      </c>
    </row>
    <row r="158" spans="1:17" x14ac:dyDescent="0.45">
      <c r="A158">
        <v>157</v>
      </c>
      <c r="B158" s="1">
        <v>41284</v>
      </c>
      <c r="C158" s="2">
        <v>0.27083333333333331</v>
      </c>
      <c r="D158">
        <v>32346.625</v>
      </c>
      <c r="E158">
        <v>19478.583984375</v>
      </c>
      <c r="F158">
        <v>21848.890625</v>
      </c>
      <c r="G158">
        <v>27492.685546875</v>
      </c>
      <c r="H158">
        <v>48945.78125</v>
      </c>
      <c r="I158">
        <v>18569.65234375</v>
      </c>
      <c r="J158">
        <v>73908.7734375</v>
      </c>
      <c r="K158">
        <v>62423.37890625</v>
      </c>
      <c r="L158">
        <v>74934.1640625</v>
      </c>
      <c r="M158">
        <v>86541.0234375</v>
      </c>
      <c r="N158">
        <v>15284.78515625</v>
      </c>
      <c r="O158">
        <v>51022.44921875</v>
      </c>
      <c r="P158">
        <v>26910.52734375</v>
      </c>
      <c r="Q158">
        <v>28863.3046875</v>
      </c>
    </row>
    <row r="159" spans="1:17" x14ac:dyDescent="0.45">
      <c r="A159">
        <v>158</v>
      </c>
      <c r="B159" s="1">
        <v>41284</v>
      </c>
      <c r="C159" s="2">
        <v>0.29166666666666669</v>
      </c>
      <c r="D159">
        <v>33987.66015625</v>
      </c>
      <c r="E159">
        <v>20767.654296875</v>
      </c>
      <c r="F159">
        <v>21722.5390625</v>
      </c>
      <c r="G159">
        <v>30933.736328125</v>
      </c>
      <c r="H159">
        <v>46618.921875</v>
      </c>
      <c r="I159">
        <v>18949.697265625</v>
      </c>
      <c r="J159">
        <v>74867.8515625</v>
      </c>
      <c r="K159">
        <v>66679.3203125</v>
      </c>
      <c r="L159">
        <v>75646.7265625</v>
      </c>
      <c r="M159">
        <v>89442.265625</v>
      </c>
      <c r="N159">
        <v>16067.017578125</v>
      </c>
      <c r="O159">
        <v>48677.734375</v>
      </c>
      <c r="P159">
        <v>30983.671875</v>
      </c>
      <c r="Q159">
        <v>31120.0625</v>
      </c>
    </row>
    <row r="160" spans="1:17" x14ac:dyDescent="0.45">
      <c r="A160">
        <v>159</v>
      </c>
      <c r="B160" s="1">
        <v>41284</v>
      </c>
      <c r="C160" s="2">
        <v>0.3125</v>
      </c>
      <c r="D160">
        <v>31985.943359375</v>
      </c>
      <c r="E160">
        <v>20122.26171875</v>
      </c>
      <c r="F160">
        <v>22513.220703125</v>
      </c>
      <c r="G160">
        <v>32032.7890625</v>
      </c>
      <c r="H160">
        <v>45549.8359375</v>
      </c>
      <c r="I160">
        <v>21030.146484375</v>
      </c>
      <c r="J160">
        <v>73795.234375</v>
      </c>
      <c r="K160">
        <v>72279.796875</v>
      </c>
      <c r="L160">
        <v>73403.9140625</v>
      </c>
      <c r="M160">
        <v>92018.140625</v>
      </c>
      <c r="N160">
        <v>16255.080078125</v>
      </c>
      <c r="O160">
        <v>53615.3046875</v>
      </c>
      <c r="P160">
        <v>33976.296875</v>
      </c>
      <c r="Q160">
        <v>31864.28515625</v>
      </c>
    </row>
    <row r="161" spans="1:17" x14ac:dyDescent="0.45">
      <c r="A161">
        <v>160</v>
      </c>
      <c r="B161" s="1">
        <v>41284</v>
      </c>
      <c r="C161" s="2">
        <v>0.33333333333333331</v>
      </c>
      <c r="D161">
        <v>29022.333984375</v>
      </c>
      <c r="E161">
        <v>18616.541015625</v>
      </c>
      <c r="F161">
        <v>17662.66015625</v>
      </c>
      <c r="G161">
        <v>29983.66796875</v>
      </c>
      <c r="H161">
        <v>38333.52734375</v>
      </c>
      <c r="I161">
        <v>18219.599609375</v>
      </c>
      <c r="J161">
        <v>64895.15234375</v>
      </c>
      <c r="K161">
        <v>62412.25</v>
      </c>
      <c r="L161">
        <v>64939.80078125</v>
      </c>
      <c r="M161">
        <v>80101.828125</v>
      </c>
      <c r="N161">
        <v>17379.4296875</v>
      </c>
      <c r="O161">
        <v>43455.953125</v>
      </c>
      <c r="P161">
        <v>32289.970703125</v>
      </c>
      <c r="Q161">
        <v>27574.8984375</v>
      </c>
    </row>
    <row r="162" spans="1:17" x14ac:dyDescent="0.45">
      <c r="A162">
        <v>161</v>
      </c>
      <c r="B162" s="1">
        <v>41284</v>
      </c>
      <c r="C162" s="2">
        <v>0.35416666666666669</v>
      </c>
      <c r="D162">
        <v>25171.873046875</v>
      </c>
      <c r="E162">
        <v>15756.546875</v>
      </c>
      <c r="F162">
        <v>15341.787109375</v>
      </c>
      <c r="G162">
        <v>20600.525390625</v>
      </c>
      <c r="H162">
        <v>34162.20703125</v>
      </c>
      <c r="I162">
        <v>14970.947265625</v>
      </c>
      <c r="J162">
        <v>56927.2734375</v>
      </c>
      <c r="K162">
        <v>53773.203125</v>
      </c>
      <c r="L162">
        <v>55469.5546875</v>
      </c>
      <c r="M162">
        <v>70955.96875</v>
      </c>
      <c r="N162">
        <v>13874.333984375</v>
      </c>
      <c r="O162">
        <v>40190.5546875</v>
      </c>
      <c r="P162">
        <v>36102.828125</v>
      </c>
      <c r="Q162">
        <v>30649.47265625</v>
      </c>
    </row>
    <row r="163" spans="1:17" x14ac:dyDescent="0.45">
      <c r="A163">
        <v>162</v>
      </c>
      <c r="B163" s="1">
        <v>41284</v>
      </c>
      <c r="C163" s="2">
        <v>0.375</v>
      </c>
      <c r="D163">
        <v>23710.810546875</v>
      </c>
      <c r="E163">
        <v>14763.90234375</v>
      </c>
      <c r="F163">
        <v>15279.2353515625</v>
      </c>
      <c r="G163">
        <v>18727.81640625</v>
      </c>
      <c r="H163">
        <v>33369.94921875</v>
      </c>
      <c r="I163">
        <v>15963.1455078125</v>
      </c>
      <c r="J163">
        <v>54466.6875</v>
      </c>
      <c r="K163">
        <v>47302.89453125</v>
      </c>
      <c r="L163">
        <v>55347.52734375</v>
      </c>
      <c r="M163">
        <v>61254.0703125</v>
      </c>
      <c r="N163">
        <v>14966.6748046875</v>
      </c>
      <c r="O163">
        <v>37412.2421875</v>
      </c>
      <c r="P163">
        <v>33876.28515625</v>
      </c>
      <c r="Q163">
        <v>22790.580078125</v>
      </c>
    </row>
    <row r="164" spans="1:17" x14ac:dyDescent="0.45">
      <c r="A164">
        <v>163</v>
      </c>
      <c r="B164" s="1">
        <v>41284</v>
      </c>
      <c r="C164" s="2">
        <v>0.39583333333333331</v>
      </c>
      <c r="D164">
        <v>28752.904296875</v>
      </c>
      <c r="E164">
        <v>14337.0849609375</v>
      </c>
      <c r="F164">
        <v>10446.779296875</v>
      </c>
      <c r="G164">
        <v>22102.779296875</v>
      </c>
      <c r="H164">
        <v>35600.37109375</v>
      </c>
      <c r="I164">
        <v>14732.9033203125</v>
      </c>
      <c r="J164">
        <v>54688.7421875</v>
      </c>
      <c r="K164">
        <v>43963.6953125</v>
      </c>
      <c r="L164">
        <v>58298.2421875</v>
      </c>
      <c r="M164">
        <v>66529.109375</v>
      </c>
      <c r="N164">
        <v>13642.2607421875</v>
      </c>
      <c r="O164">
        <v>33213.75390625</v>
      </c>
      <c r="P164">
        <v>33392.16015625</v>
      </c>
      <c r="Q164">
        <v>20454.619140625</v>
      </c>
    </row>
    <row r="165" spans="1:17" x14ac:dyDescent="0.45">
      <c r="A165">
        <v>164</v>
      </c>
      <c r="B165" s="1">
        <v>41284</v>
      </c>
      <c r="C165" s="2">
        <v>0.41666666666666669</v>
      </c>
      <c r="D165">
        <v>25496.8125</v>
      </c>
      <c r="E165">
        <v>8699.6279296875</v>
      </c>
      <c r="F165">
        <v>6802.98876953125</v>
      </c>
      <c r="G165">
        <v>22673.0546875</v>
      </c>
      <c r="H165">
        <v>24580.75390625</v>
      </c>
      <c r="I165">
        <v>9729.91796875</v>
      </c>
      <c r="J165">
        <v>45672.37890625</v>
      </c>
      <c r="K165">
        <v>29898.673828125</v>
      </c>
      <c r="L165">
        <v>48559.796875</v>
      </c>
      <c r="M165">
        <v>53666.578125</v>
      </c>
      <c r="N165">
        <v>10365.2470703125</v>
      </c>
      <c r="O165">
        <v>22621.291015625</v>
      </c>
      <c r="P165">
        <v>32503.900390625</v>
      </c>
      <c r="Q165">
        <v>13814.9755859375</v>
      </c>
    </row>
    <row r="166" spans="1:17" x14ac:dyDescent="0.45">
      <c r="A166">
        <v>165</v>
      </c>
      <c r="B166" s="1">
        <v>41284</v>
      </c>
      <c r="C166" s="2">
        <v>0.4375</v>
      </c>
      <c r="D166">
        <v>18196.150390625</v>
      </c>
      <c r="E166">
        <v>3699.05053710937</v>
      </c>
      <c r="F166">
        <v>3824.60693359375</v>
      </c>
      <c r="G166">
        <v>16877.26953125</v>
      </c>
      <c r="H166">
        <v>13586.94921875</v>
      </c>
      <c r="I166">
        <v>5135.013671875</v>
      </c>
      <c r="J166">
        <v>31545.3671875</v>
      </c>
      <c r="K166">
        <v>11197.99609375</v>
      </c>
      <c r="L166">
        <v>33356.1015625</v>
      </c>
      <c r="M166">
        <v>31572.228515625</v>
      </c>
      <c r="N166">
        <v>4495.40869140625</v>
      </c>
      <c r="O166">
        <v>14330.619140625</v>
      </c>
      <c r="P166">
        <v>31227.5859375</v>
      </c>
      <c r="Q166">
        <v>7614.45458984375</v>
      </c>
    </row>
    <row r="167" spans="1:17" x14ac:dyDescent="0.45">
      <c r="A167">
        <v>166</v>
      </c>
      <c r="B167" s="1">
        <v>41284</v>
      </c>
      <c r="C167" s="2">
        <v>0.45833333333333331</v>
      </c>
      <c r="D167">
        <v>10637.857421875</v>
      </c>
      <c r="E167">
        <v>8906.630859375</v>
      </c>
      <c r="F167">
        <v>8734.890625</v>
      </c>
      <c r="G167">
        <v>16147.03515625</v>
      </c>
      <c r="H167">
        <v>17746.369140625</v>
      </c>
      <c r="I167">
        <v>5893.16357421875</v>
      </c>
      <c r="J167">
        <v>31561.36328125</v>
      </c>
      <c r="K167">
        <v>19865.091796875</v>
      </c>
      <c r="L167">
        <v>34914.484375</v>
      </c>
      <c r="M167">
        <v>30864.09375</v>
      </c>
      <c r="N167">
        <v>5899.84765625</v>
      </c>
      <c r="O167">
        <v>22585.287109375</v>
      </c>
      <c r="P167">
        <v>35528.63671875</v>
      </c>
      <c r="Q167">
        <v>12510.037109375</v>
      </c>
    </row>
    <row r="168" spans="1:17" x14ac:dyDescent="0.45">
      <c r="A168">
        <v>167</v>
      </c>
      <c r="B168" s="1">
        <v>41284</v>
      </c>
      <c r="C168" s="2">
        <v>0.47916666666666669</v>
      </c>
      <c r="D168">
        <v>4653.6552734375</v>
      </c>
      <c r="E168">
        <v>4989.70947265625</v>
      </c>
      <c r="F168">
        <v>4363.43212890625</v>
      </c>
      <c r="G168">
        <v>15710.8935546875</v>
      </c>
      <c r="H168">
        <v>7090.48486328125</v>
      </c>
      <c r="I168">
        <v>7039.390625</v>
      </c>
      <c r="J168">
        <v>17780.146484375</v>
      </c>
      <c r="K168">
        <v>20685.38671875</v>
      </c>
      <c r="L168">
        <v>23367.6796875</v>
      </c>
      <c r="M168">
        <v>25767.08984375</v>
      </c>
      <c r="N168">
        <v>4845.97265625</v>
      </c>
      <c r="O168">
        <v>16067.1845703125</v>
      </c>
      <c r="P168">
        <v>32075.796875</v>
      </c>
      <c r="Q168">
        <v>8214.650390625</v>
      </c>
    </row>
    <row r="169" spans="1:17" x14ac:dyDescent="0.45">
      <c r="A169">
        <v>168</v>
      </c>
      <c r="B169" s="1">
        <v>41284</v>
      </c>
      <c r="C169" s="2">
        <v>0.5</v>
      </c>
      <c r="D169">
        <v>3733.568359375</v>
      </c>
      <c r="E169">
        <v>8607.6416015625</v>
      </c>
      <c r="F169">
        <v>3725.9453125</v>
      </c>
      <c r="G169">
        <v>6554.05224609375</v>
      </c>
      <c r="H169">
        <v>11080.052734375</v>
      </c>
      <c r="I169">
        <v>8057.5927734375</v>
      </c>
      <c r="J169">
        <v>17200.005859375</v>
      </c>
      <c r="K169">
        <v>12346.4072265625</v>
      </c>
      <c r="L169">
        <v>20444.96875</v>
      </c>
      <c r="M169">
        <v>13660.7001953125</v>
      </c>
      <c r="N169">
        <v>9614.8828125</v>
      </c>
      <c r="O169">
        <v>15054.8583984375</v>
      </c>
      <c r="P169">
        <v>30825.494140625</v>
      </c>
      <c r="Q169">
        <v>4579.47802734375</v>
      </c>
    </row>
    <row r="170" spans="1:17" x14ac:dyDescent="0.45">
      <c r="A170">
        <v>169</v>
      </c>
      <c r="B170" s="1">
        <v>41284</v>
      </c>
      <c r="C170" s="2">
        <v>0.52083333333333337</v>
      </c>
      <c r="D170">
        <v>-3531.13012695312</v>
      </c>
      <c r="E170">
        <v>4573.4609375</v>
      </c>
      <c r="F170">
        <v>4387.78955078125</v>
      </c>
      <c r="G170">
        <v>-2310.72875976562</v>
      </c>
      <c r="H170">
        <v>3399.22290039062</v>
      </c>
      <c r="I170">
        <v>6431.26953125</v>
      </c>
      <c r="J170">
        <v>4194.95068359375</v>
      </c>
      <c r="K170">
        <v>2314.826171875</v>
      </c>
      <c r="L170">
        <v>3374.81909179687</v>
      </c>
      <c r="M170">
        <v>-6621.30712890625</v>
      </c>
      <c r="N170">
        <v>7146.236328125</v>
      </c>
      <c r="O170">
        <v>9973.2197265625</v>
      </c>
      <c r="P170">
        <v>31127.55859375</v>
      </c>
      <c r="Q170">
        <v>-1086.35070800781</v>
      </c>
    </row>
    <row r="171" spans="1:17" x14ac:dyDescent="0.45">
      <c r="A171">
        <v>170</v>
      </c>
      <c r="B171" s="1">
        <v>41284</v>
      </c>
      <c r="C171" s="2">
        <v>0.54166666666666663</v>
      </c>
      <c r="D171">
        <v>-635.74871826171795</v>
      </c>
      <c r="E171">
        <v>6464.05908203125</v>
      </c>
      <c r="F171">
        <v>-772.66735839843705</v>
      </c>
      <c r="G171">
        <v>-1186.3642578125</v>
      </c>
      <c r="H171">
        <v>5730.11474609375</v>
      </c>
      <c r="I171">
        <v>2510.49609375</v>
      </c>
      <c r="J171">
        <v>8043.8203125</v>
      </c>
      <c r="K171">
        <v>5509.96630859375</v>
      </c>
      <c r="L171">
        <v>10196.4775390625</v>
      </c>
      <c r="M171">
        <v>5123.01220703125</v>
      </c>
      <c r="N171">
        <v>9498.9716796875</v>
      </c>
      <c r="O171">
        <v>3991.28881835937</v>
      </c>
      <c r="P171">
        <v>34362.35546875</v>
      </c>
      <c r="Q171">
        <v>6656.1494140625</v>
      </c>
    </row>
    <row r="172" spans="1:17" x14ac:dyDescent="0.45">
      <c r="A172">
        <v>171</v>
      </c>
      <c r="B172" s="1">
        <v>41284</v>
      </c>
      <c r="C172" s="2">
        <v>0.5625</v>
      </c>
      <c r="D172">
        <v>1196.255859375</v>
      </c>
      <c r="E172">
        <v>8368.7333984375</v>
      </c>
      <c r="F172">
        <v>2038.54711914062</v>
      </c>
      <c r="G172">
        <v>946.29455566406205</v>
      </c>
      <c r="H172">
        <v>8891.083984375</v>
      </c>
      <c r="I172">
        <v>5056.99853515625</v>
      </c>
      <c r="J172">
        <v>13833.216796875</v>
      </c>
      <c r="K172">
        <v>11863.5146484375</v>
      </c>
      <c r="L172">
        <v>15099.671875</v>
      </c>
      <c r="M172">
        <v>11516.2763671875</v>
      </c>
      <c r="N172">
        <v>9472.962890625</v>
      </c>
      <c r="O172">
        <v>11211.62109375</v>
      </c>
      <c r="P172">
        <v>32811.98046875</v>
      </c>
      <c r="Q172">
        <v>8696.80859375</v>
      </c>
    </row>
    <row r="173" spans="1:17" x14ac:dyDescent="0.45">
      <c r="A173">
        <v>172</v>
      </c>
      <c r="B173" s="1">
        <v>41284</v>
      </c>
      <c r="C173" s="2">
        <v>0.58333333333333337</v>
      </c>
      <c r="D173">
        <v>6643.595703125</v>
      </c>
      <c r="E173">
        <v>8381.916015625</v>
      </c>
      <c r="F173">
        <v>1390.73425292968</v>
      </c>
      <c r="G173">
        <v>2130.671875</v>
      </c>
      <c r="H173">
        <v>12718.5439453125</v>
      </c>
      <c r="I173">
        <v>3158.62133789062</v>
      </c>
      <c r="J173">
        <v>19110.435546875</v>
      </c>
      <c r="K173">
        <v>8865.1650390625</v>
      </c>
      <c r="L173">
        <v>20376.951171875</v>
      </c>
      <c r="M173">
        <v>14606.873046875</v>
      </c>
      <c r="N173">
        <v>9917.1005859375</v>
      </c>
      <c r="O173">
        <v>9741.9404296875</v>
      </c>
      <c r="P173">
        <v>31519.67578125</v>
      </c>
      <c r="Q173">
        <v>9055.9443359375</v>
      </c>
    </row>
    <row r="174" spans="1:17" x14ac:dyDescent="0.45">
      <c r="A174">
        <v>173</v>
      </c>
      <c r="B174" s="1">
        <v>41284</v>
      </c>
      <c r="C174" s="2">
        <v>0.60416666666666663</v>
      </c>
      <c r="D174">
        <v>2403.59252929687</v>
      </c>
      <c r="E174">
        <v>5749.787109375</v>
      </c>
      <c r="F174">
        <v>4243.06640625</v>
      </c>
      <c r="G174">
        <v>-782.24456787109295</v>
      </c>
      <c r="H174">
        <v>6421.6865234375</v>
      </c>
      <c r="I174">
        <v>4722.93212890625</v>
      </c>
      <c r="J174">
        <v>11858.7646484375</v>
      </c>
      <c r="K174">
        <v>-1231.77893066406</v>
      </c>
      <c r="L174">
        <v>11337.7626953125</v>
      </c>
      <c r="M174">
        <v>-3320.64306640625</v>
      </c>
      <c r="N174">
        <v>6094.36328125</v>
      </c>
      <c r="O174">
        <v>9920.25390625</v>
      </c>
      <c r="P174">
        <v>24948.640625</v>
      </c>
      <c r="Q174">
        <v>-331.473876953125</v>
      </c>
    </row>
    <row r="175" spans="1:17" x14ac:dyDescent="0.45">
      <c r="A175">
        <v>174</v>
      </c>
      <c r="B175" s="1">
        <v>41284</v>
      </c>
      <c r="C175" s="2">
        <v>0.625</v>
      </c>
      <c r="D175">
        <v>218.11122131347599</v>
      </c>
      <c r="E175">
        <v>4656.52783203125</v>
      </c>
      <c r="F175">
        <v>4574.0263671875</v>
      </c>
      <c r="G175">
        <v>-2696.84106445312</v>
      </c>
      <c r="H175">
        <v>4701.00048828125</v>
      </c>
      <c r="I175">
        <v>6533.291015625</v>
      </c>
      <c r="J175">
        <v>8125.89453125</v>
      </c>
      <c r="K175">
        <v>-1256.44848632812</v>
      </c>
      <c r="L175">
        <v>7137.73046875</v>
      </c>
      <c r="M175">
        <v>-3470.68603515625</v>
      </c>
      <c r="N175">
        <v>5109.6015625</v>
      </c>
      <c r="O175">
        <v>7870.5380859375</v>
      </c>
      <c r="P175">
        <v>27082.568359375</v>
      </c>
      <c r="Q175">
        <v>-1486.47937011718</v>
      </c>
    </row>
    <row r="176" spans="1:17" x14ac:dyDescent="0.45">
      <c r="A176">
        <v>175</v>
      </c>
      <c r="B176" s="1">
        <v>41284</v>
      </c>
      <c r="C176" s="2">
        <v>0.64583333333333337</v>
      </c>
      <c r="D176">
        <v>-2143.11694335937</v>
      </c>
      <c r="E176">
        <v>3767.97802734375</v>
      </c>
      <c r="F176">
        <v>3035.76733398437</v>
      </c>
      <c r="G176">
        <v>-2426.76904296875</v>
      </c>
      <c r="H176">
        <v>4319.541015625</v>
      </c>
      <c r="I176">
        <v>7119.56494140625</v>
      </c>
      <c r="J176">
        <v>3732.87060546875</v>
      </c>
      <c r="K176">
        <v>104.037132263183</v>
      </c>
      <c r="L176">
        <v>6257.51904296875</v>
      </c>
      <c r="M176">
        <v>-1865.36193847656</v>
      </c>
      <c r="N176">
        <v>5211.63232421875</v>
      </c>
      <c r="O176">
        <v>5949.91796875</v>
      </c>
      <c r="P176">
        <v>27406.63671875</v>
      </c>
      <c r="Q176">
        <v>-718.23150634765602</v>
      </c>
    </row>
    <row r="177" spans="1:17" x14ac:dyDescent="0.45">
      <c r="A177">
        <v>176</v>
      </c>
      <c r="B177" s="1">
        <v>41284</v>
      </c>
      <c r="C177" s="2">
        <v>0.66666666666666663</v>
      </c>
      <c r="D177">
        <v>1510.12194824218</v>
      </c>
      <c r="E177">
        <v>8045.1962890625</v>
      </c>
      <c r="F177">
        <v>3895.626953125</v>
      </c>
      <c r="G177">
        <v>440.13748168945301</v>
      </c>
      <c r="H177">
        <v>11878.2724609375</v>
      </c>
      <c r="I177">
        <v>5267.0390625</v>
      </c>
      <c r="J177">
        <v>13917.240234375</v>
      </c>
      <c r="K177">
        <v>3639.29931640625</v>
      </c>
      <c r="L177">
        <v>16041.7236328125</v>
      </c>
      <c r="M177">
        <v>3486.69018554687</v>
      </c>
      <c r="N177">
        <v>7414.322265625</v>
      </c>
      <c r="O177">
        <v>11237.6279296875</v>
      </c>
      <c r="P177">
        <v>23589.734375</v>
      </c>
      <c r="Q177">
        <v>446.14401245117102</v>
      </c>
    </row>
    <row r="178" spans="1:17" x14ac:dyDescent="0.45">
      <c r="A178">
        <v>177</v>
      </c>
      <c r="B178" s="1">
        <v>41284</v>
      </c>
      <c r="C178" s="2">
        <v>0.6875</v>
      </c>
      <c r="D178">
        <v>6241.94140625</v>
      </c>
      <c r="E178">
        <v>5109.53125</v>
      </c>
      <c r="F178">
        <v>6295.85888671875</v>
      </c>
      <c r="G178">
        <v>4900.4833984375</v>
      </c>
      <c r="H178">
        <v>12384.482421875</v>
      </c>
      <c r="I178">
        <v>6945.373046875</v>
      </c>
      <c r="J178">
        <v>16513.845703125</v>
      </c>
      <c r="K178">
        <v>10431.7216796875</v>
      </c>
      <c r="L178">
        <v>20663.021484375</v>
      </c>
      <c r="M178">
        <v>12288.4267578125</v>
      </c>
      <c r="N178">
        <v>3717.9794921875</v>
      </c>
      <c r="O178">
        <v>15338.951171875</v>
      </c>
      <c r="P178">
        <v>24223.888671875</v>
      </c>
      <c r="Q178">
        <v>1112.35913085937</v>
      </c>
    </row>
    <row r="179" spans="1:17" x14ac:dyDescent="0.45">
      <c r="A179">
        <v>178</v>
      </c>
      <c r="B179" s="1">
        <v>41284</v>
      </c>
      <c r="C179" s="2">
        <v>0.70833333333333337</v>
      </c>
      <c r="D179">
        <v>8815.435546875</v>
      </c>
      <c r="E179">
        <v>9645.2529296875</v>
      </c>
      <c r="F179">
        <v>8832.57421875</v>
      </c>
      <c r="G179">
        <v>5168.064453125</v>
      </c>
      <c r="H179">
        <v>17906.34765625</v>
      </c>
      <c r="I179">
        <v>9429.86328125</v>
      </c>
      <c r="J179">
        <v>26120.078125</v>
      </c>
      <c r="K179">
        <v>19054.80078125</v>
      </c>
      <c r="L179">
        <v>25974.314453125</v>
      </c>
      <c r="M179">
        <v>21848.31640625</v>
      </c>
      <c r="N179">
        <v>9320.9150390625</v>
      </c>
      <c r="O179">
        <v>23829.693359375</v>
      </c>
      <c r="P179">
        <v>27384.66015625</v>
      </c>
      <c r="Q179">
        <v>10003.2294921875</v>
      </c>
    </row>
    <row r="180" spans="1:17" x14ac:dyDescent="0.45">
      <c r="A180">
        <v>179</v>
      </c>
      <c r="B180" s="1">
        <v>41284</v>
      </c>
      <c r="C180" s="2">
        <v>0.72916666666666663</v>
      </c>
      <c r="D180">
        <v>16446.017578125</v>
      </c>
      <c r="E180">
        <v>20173.822265625</v>
      </c>
      <c r="F180">
        <v>17569.18359375</v>
      </c>
      <c r="G180">
        <v>23687.43359375</v>
      </c>
      <c r="H180">
        <v>34360.109375</v>
      </c>
      <c r="I180">
        <v>14448.8623046875</v>
      </c>
      <c r="J180">
        <v>54224.625</v>
      </c>
      <c r="K180">
        <v>47038.79296875</v>
      </c>
      <c r="L180">
        <v>54093.140625</v>
      </c>
      <c r="M180">
        <v>53476.59375</v>
      </c>
      <c r="N180">
        <v>16111.04296875</v>
      </c>
      <c r="O180">
        <v>36803.87109375</v>
      </c>
      <c r="P180">
        <v>38671.3984375</v>
      </c>
      <c r="Q180">
        <v>16599.892578125</v>
      </c>
    </row>
    <row r="181" spans="1:17" x14ac:dyDescent="0.45">
      <c r="A181">
        <v>180</v>
      </c>
      <c r="B181" s="1">
        <v>41284</v>
      </c>
      <c r="C181" s="2">
        <v>0.75</v>
      </c>
      <c r="D181">
        <v>33275.87109375</v>
      </c>
      <c r="E181">
        <v>20695.419921875</v>
      </c>
      <c r="F181">
        <v>27517.072265625</v>
      </c>
      <c r="G181">
        <v>38706.10546875</v>
      </c>
      <c r="H181">
        <v>47554.55859375</v>
      </c>
      <c r="I181">
        <v>24886.955078125</v>
      </c>
      <c r="J181">
        <v>76407.8359375</v>
      </c>
      <c r="K181">
        <v>76005.1328125</v>
      </c>
      <c r="L181">
        <v>78433.28125</v>
      </c>
      <c r="M181">
        <v>92444.4140625</v>
      </c>
      <c r="N181">
        <v>18517.78125</v>
      </c>
      <c r="O181">
        <v>55493.9609375</v>
      </c>
      <c r="P181">
        <v>46379.3515625</v>
      </c>
      <c r="Q181">
        <v>27712.96875</v>
      </c>
    </row>
    <row r="182" spans="1:17" x14ac:dyDescent="0.45">
      <c r="A182">
        <v>181</v>
      </c>
      <c r="B182" s="1">
        <v>41284</v>
      </c>
      <c r="C182" s="2">
        <v>0.77083333333333337</v>
      </c>
      <c r="D182">
        <v>37220.13671875</v>
      </c>
      <c r="E182">
        <v>24245.01953125</v>
      </c>
      <c r="F182">
        <v>32278.1328125</v>
      </c>
      <c r="G182">
        <v>37153.6015625</v>
      </c>
      <c r="H182">
        <v>54669.5</v>
      </c>
      <c r="I182">
        <v>27551.4296875</v>
      </c>
      <c r="J182">
        <v>88568.6640625</v>
      </c>
      <c r="K182">
        <v>86330.8203125</v>
      </c>
      <c r="L182">
        <v>87471.3984375</v>
      </c>
      <c r="M182">
        <v>101197.9375</v>
      </c>
      <c r="N182">
        <v>20890.521484375</v>
      </c>
      <c r="O182">
        <v>68942.28125</v>
      </c>
      <c r="P182">
        <v>45991.2578125</v>
      </c>
      <c r="Q182">
        <v>36247.71484375</v>
      </c>
    </row>
    <row r="183" spans="1:17" x14ac:dyDescent="0.45">
      <c r="A183">
        <v>182</v>
      </c>
      <c r="B183" s="1">
        <v>41284</v>
      </c>
      <c r="C183" s="2">
        <v>0.79166666666666663</v>
      </c>
      <c r="D183">
        <v>38713.19140625</v>
      </c>
      <c r="E183">
        <v>25836.880859375</v>
      </c>
      <c r="F183">
        <v>35767.01953125</v>
      </c>
      <c r="G183">
        <v>38813.58984375</v>
      </c>
      <c r="H183">
        <v>58228.8046875</v>
      </c>
      <c r="I183">
        <v>31480.208984375</v>
      </c>
      <c r="J183">
        <v>93891.8984375</v>
      </c>
      <c r="K183">
        <v>92931.1640625</v>
      </c>
      <c r="L183">
        <v>92608.6796875</v>
      </c>
      <c r="M183">
        <v>107549.2109375</v>
      </c>
      <c r="N183">
        <v>22242.939453125</v>
      </c>
      <c r="O183">
        <v>73743.84375</v>
      </c>
      <c r="P183">
        <v>46813.47265625</v>
      </c>
      <c r="Q183">
        <v>37326.0703125</v>
      </c>
    </row>
    <row r="184" spans="1:17" x14ac:dyDescent="0.45">
      <c r="A184">
        <v>183</v>
      </c>
      <c r="B184" s="1">
        <v>41284</v>
      </c>
      <c r="C184" s="2">
        <v>0.8125</v>
      </c>
      <c r="D184">
        <v>49337.73828125</v>
      </c>
      <c r="E184">
        <v>29425.93359375</v>
      </c>
      <c r="F184">
        <v>34196.7734375</v>
      </c>
      <c r="G184">
        <v>42005.13671875</v>
      </c>
      <c r="H184">
        <v>68071.578125</v>
      </c>
      <c r="I184">
        <v>30109.314453125</v>
      </c>
      <c r="J184">
        <v>107611.671875</v>
      </c>
      <c r="K184">
        <v>95114.9453125</v>
      </c>
      <c r="L184">
        <v>108766.0625</v>
      </c>
      <c r="M184">
        <v>121725.4765625</v>
      </c>
      <c r="N184">
        <v>27037.67578125</v>
      </c>
      <c r="O184">
        <v>71782.7890625</v>
      </c>
      <c r="P184">
        <v>43906.19921875</v>
      </c>
      <c r="Q184">
        <v>40238.36328125</v>
      </c>
    </row>
    <row r="185" spans="1:17" x14ac:dyDescent="0.45">
      <c r="A185">
        <v>184</v>
      </c>
      <c r="B185" s="1">
        <v>41284</v>
      </c>
      <c r="C185" s="2">
        <v>0.83333333333333337</v>
      </c>
      <c r="D185">
        <v>55847.71484375</v>
      </c>
      <c r="E185">
        <v>28369.65234375</v>
      </c>
      <c r="F185">
        <v>32743.39453125</v>
      </c>
      <c r="G185">
        <v>45240.22265625</v>
      </c>
      <c r="H185">
        <v>72509.796875</v>
      </c>
      <c r="I185">
        <v>29999.9140625</v>
      </c>
      <c r="J185">
        <v>113078.4765625</v>
      </c>
      <c r="K185">
        <v>101500.2265625</v>
      </c>
      <c r="L185">
        <v>116282.4453125</v>
      </c>
      <c r="M185">
        <v>134880.59375</v>
      </c>
      <c r="N185">
        <v>26308.224609375</v>
      </c>
      <c r="O185">
        <v>74259.984375</v>
      </c>
      <c r="P185">
        <v>44420.94921875</v>
      </c>
      <c r="Q185">
        <v>45358.65234375</v>
      </c>
    </row>
    <row r="186" spans="1:17" x14ac:dyDescent="0.45">
      <c r="A186">
        <v>185</v>
      </c>
      <c r="B186" s="1">
        <v>41284</v>
      </c>
      <c r="C186" s="2">
        <v>0.85416666666666663</v>
      </c>
      <c r="D186">
        <v>58797.59375</v>
      </c>
      <c r="E186">
        <v>32022.171875</v>
      </c>
      <c r="F186">
        <v>33212.74609375</v>
      </c>
      <c r="G186">
        <v>49431.24609375</v>
      </c>
      <c r="H186">
        <v>76576.8046875</v>
      </c>
      <c r="I186">
        <v>36327.1796875</v>
      </c>
      <c r="J186">
        <v>122328.6640625</v>
      </c>
      <c r="K186">
        <v>109186.9296875</v>
      </c>
      <c r="L186">
        <v>123246.140625</v>
      </c>
      <c r="M186">
        <v>147551.03125</v>
      </c>
      <c r="N186">
        <v>25045.826171875</v>
      </c>
      <c r="O186">
        <v>85173.46875</v>
      </c>
      <c r="P186">
        <v>45077.03515625</v>
      </c>
      <c r="Q186">
        <v>45038.52734375</v>
      </c>
    </row>
    <row r="187" spans="1:17" x14ac:dyDescent="0.45">
      <c r="A187">
        <v>186</v>
      </c>
      <c r="B187" s="1">
        <v>41284</v>
      </c>
      <c r="C187" s="2">
        <v>0.875</v>
      </c>
      <c r="D187">
        <v>56619.1328125</v>
      </c>
      <c r="E187">
        <v>30865.00390625</v>
      </c>
      <c r="F187">
        <v>36063.12109375</v>
      </c>
      <c r="G187">
        <v>49721.4765625</v>
      </c>
      <c r="H187">
        <v>76607.25</v>
      </c>
      <c r="I187">
        <v>33312.53515625</v>
      </c>
      <c r="J187">
        <v>122488.671875</v>
      </c>
      <c r="K187">
        <v>108916.90625</v>
      </c>
      <c r="L187">
        <v>122493.921875</v>
      </c>
      <c r="M187">
        <v>146432.9375</v>
      </c>
      <c r="N187">
        <v>22691.091796875</v>
      </c>
      <c r="O187">
        <v>86707.8203125</v>
      </c>
      <c r="P187">
        <v>44836.95703125</v>
      </c>
      <c r="Q187">
        <v>47017.61328125</v>
      </c>
    </row>
    <row r="188" spans="1:17" x14ac:dyDescent="0.45">
      <c r="A188">
        <v>187</v>
      </c>
      <c r="B188" s="1">
        <v>41284</v>
      </c>
      <c r="C188" s="2">
        <v>0.89583333333333337</v>
      </c>
      <c r="D188">
        <v>53387.703125</v>
      </c>
      <c r="E188">
        <v>31830.322265625</v>
      </c>
      <c r="F188">
        <v>36565.77734375</v>
      </c>
      <c r="G188">
        <v>48423.9375</v>
      </c>
      <c r="H188">
        <v>74418.875</v>
      </c>
      <c r="I188">
        <v>31640.193359375</v>
      </c>
      <c r="J188">
        <v>117929.5859375</v>
      </c>
      <c r="K188">
        <v>108680.796875</v>
      </c>
      <c r="L188">
        <v>116556.53125</v>
      </c>
      <c r="M188">
        <v>138737.140625</v>
      </c>
      <c r="N188">
        <v>25351.91796875</v>
      </c>
      <c r="O188">
        <v>82799.5703125</v>
      </c>
      <c r="P188">
        <v>46335.375</v>
      </c>
      <c r="Q188">
        <v>45187.140625</v>
      </c>
    </row>
    <row r="189" spans="1:17" x14ac:dyDescent="0.45">
      <c r="A189">
        <v>188</v>
      </c>
      <c r="B189" s="1">
        <v>41284</v>
      </c>
      <c r="C189" s="2">
        <v>0.91666666666666663</v>
      </c>
      <c r="D189">
        <v>48937.0703125</v>
      </c>
      <c r="E189">
        <v>27994.63671875</v>
      </c>
      <c r="F189">
        <v>29723.01171875</v>
      </c>
      <c r="G189">
        <v>45778.23046875</v>
      </c>
      <c r="H189">
        <v>67331.84375</v>
      </c>
      <c r="I189">
        <v>26973.30859375</v>
      </c>
      <c r="J189">
        <v>108282.640625</v>
      </c>
      <c r="K189">
        <v>100511.890625</v>
      </c>
      <c r="L189">
        <v>109210.71875</v>
      </c>
      <c r="M189">
        <v>131849.9375</v>
      </c>
      <c r="N189">
        <v>24821.78515625</v>
      </c>
      <c r="O189">
        <v>73526.3359375</v>
      </c>
      <c r="P189">
        <v>42270.41796875</v>
      </c>
      <c r="Q189">
        <v>44950.55859375</v>
      </c>
    </row>
    <row r="190" spans="1:17" x14ac:dyDescent="0.45">
      <c r="A190">
        <v>189</v>
      </c>
      <c r="B190" s="1">
        <v>41284</v>
      </c>
      <c r="C190" s="2">
        <v>0.9375</v>
      </c>
      <c r="D190">
        <v>48905.5078125</v>
      </c>
      <c r="E190">
        <v>29428.51953125</v>
      </c>
      <c r="F190">
        <v>31766.1875</v>
      </c>
      <c r="G190">
        <v>45492.109375</v>
      </c>
      <c r="H190">
        <v>68486.4453125</v>
      </c>
      <c r="I190">
        <v>28223.55859375</v>
      </c>
      <c r="J190">
        <v>107891.21875</v>
      </c>
      <c r="K190">
        <v>99429.4921875</v>
      </c>
      <c r="L190">
        <v>111591.3203125</v>
      </c>
      <c r="M190">
        <v>128727.3359375</v>
      </c>
      <c r="N190">
        <v>27420.5625</v>
      </c>
      <c r="O190">
        <v>75454.3671875</v>
      </c>
      <c r="P190">
        <v>37141.09765625</v>
      </c>
      <c r="Q190">
        <v>42493.72265625</v>
      </c>
    </row>
    <row r="191" spans="1:17" x14ac:dyDescent="0.45">
      <c r="A191">
        <v>190</v>
      </c>
      <c r="B191" s="1">
        <v>41284</v>
      </c>
      <c r="C191" s="2">
        <v>0.95833333333333337</v>
      </c>
      <c r="D191">
        <v>47110.46875</v>
      </c>
      <c r="E191">
        <v>26443.982421875</v>
      </c>
      <c r="F191">
        <v>27994.939453125</v>
      </c>
      <c r="G191">
        <v>49723.453125</v>
      </c>
      <c r="H191">
        <v>63201.4453125</v>
      </c>
      <c r="I191">
        <v>26341.189453125</v>
      </c>
      <c r="J191">
        <v>101703.75</v>
      </c>
      <c r="K191">
        <v>99223.390625</v>
      </c>
      <c r="L191">
        <v>107998.4609375</v>
      </c>
      <c r="M191">
        <v>132094.03125</v>
      </c>
      <c r="N191">
        <v>24549.658203125</v>
      </c>
      <c r="O191">
        <v>66693.5390625</v>
      </c>
      <c r="P191">
        <v>43366.62890625</v>
      </c>
      <c r="Q191">
        <v>44304.3125</v>
      </c>
    </row>
    <row r="192" spans="1:17" x14ac:dyDescent="0.45">
      <c r="A192">
        <v>191</v>
      </c>
      <c r="B192" s="1">
        <v>41284</v>
      </c>
      <c r="C192" s="2">
        <v>0.97916666666666663</v>
      </c>
      <c r="D192">
        <v>39873.52734375</v>
      </c>
      <c r="E192">
        <v>28988.759765625</v>
      </c>
      <c r="F192">
        <v>25415.736328125</v>
      </c>
      <c r="G192">
        <v>43143.84375</v>
      </c>
      <c r="H192">
        <v>60283.3359375</v>
      </c>
      <c r="I192">
        <v>26811.27734375</v>
      </c>
      <c r="J192">
        <v>93989.921875</v>
      </c>
      <c r="K192">
        <v>83127.6484375</v>
      </c>
      <c r="L192">
        <v>99990.484375</v>
      </c>
      <c r="M192">
        <v>108787.4140625</v>
      </c>
      <c r="N192">
        <v>27982.720703125</v>
      </c>
      <c r="O192">
        <v>60661.6015625</v>
      </c>
      <c r="P192">
        <v>31853.802734375</v>
      </c>
      <c r="Q192">
        <v>30727.931640625</v>
      </c>
    </row>
    <row r="193" spans="1:17" x14ac:dyDescent="0.45">
      <c r="A193">
        <v>192</v>
      </c>
      <c r="B193" s="1">
        <v>41285</v>
      </c>
      <c r="C193" s="2">
        <v>0</v>
      </c>
      <c r="D193">
        <v>36106.62109375</v>
      </c>
      <c r="E193">
        <v>26204.42578125</v>
      </c>
      <c r="F193">
        <v>23109.677734375</v>
      </c>
      <c r="G193">
        <v>38228.21875</v>
      </c>
      <c r="H193">
        <v>52601.5234375</v>
      </c>
      <c r="I193">
        <v>23166.451171875</v>
      </c>
      <c r="J193">
        <v>84256.640625</v>
      </c>
      <c r="K193">
        <v>78660.1875</v>
      </c>
      <c r="L193">
        <v>87971.3125</v>
      </c>
      <c r="M193">
        <v>99153.0546875</v>
      </c>
      <c r="N193">
        <v>24603.828125</v>
      </c>
      <c r="O193">
        <v>56202.44921875</v>
      </c>
      <c r="P193">
        <v>33040.92578125</v>
      </c>
      <c r="Q193">
        <v>31226.8984375</v>
      </c>
    </row>
    <row r="194" spans="1:17" x14ac:dyDescent="0.45">
      <c r="A194">
        <v>193</v>
      </c>
      <c r="B194" s="1">
        <v>41285</v>
      </c>
      <c r="C194" s="2">
        <v>2.0833333333333332E-2</v>
      </c>
      <c r="D194">
        <v>38366.3671875</v>
      </c>
      <c r="E194">
        <v>18401.373046875</v>
      </c>
      <c r="F194">
        <v>21980.154296875</v>
      </c>
      <c r="G194">
        <v>37926.125</v>
      </c>
      <c r="H194">
        <v>43299.9921875</v>
      </c>
      <c r="I194">
        <v>24326.841796875</v>
      </c>
      <c r="J194">
        <v>76855.1640625</v>
      </c>
      <c r="K194">
        <v>70397.125</v>
      </c>
      <c r="L194">
        <v>80027.4921875</v>
      </c>
      <c r="M194">
        <v>93824.2578125</v>
      </c>
      <c r="N194">
        <v>18305.890625</v>
      </c>
      <c r="O194">
        <v>52040.765625</v>
      </c>
      <c r="P194">
        <v>27602.7265625</v>
      </c>
      <c r="Q194">
        <v>26024.38671875</v>
      </c>
    </row>
    <row r="195" spans="1:17" x14ac:dyDescent="0.45">
      <c r="A195">
        <v>194</v>
      </c>
      <c r="B195" s="1">
        <v>41285</v>
      </c>
      <c r="C195" s="2">
        <v>4.1666666666666664E-2</v>
      </c>
      <c r="D195">
        <v>38760.28125</v>
      </c>
      <c r="E195">
        <v>17423.3671875</v>
      </c>
      <c r="F195">
        <v>22551.662109375</v>
      </c>
      <c r="G195">
        <v>34650.83984375</v>
      </c>
      <c r="H195">
        <v>43149.33203125</v>
      </c>
      <c r="I195">
        <v>23954.470703125</v>
      </c>
      <c r="J195">
        <v>76302.9609375</v>
      </c>
      <c r="K195">
        <v>68712.5078125</v>
      </c>
      <c r="L195">
        <v>76358.4609375</v>
      </c>
      <c r="M195">
        <v>90526.8984375</v>
      </c>
      <c r="N195">
        <v>16219.0791015625</v>
      </c>
      <c r="O195">
        <v>53441.22265625</v>
      </c>
      <c r="P195">
        <v>25938.2734375</v>
      </c>
      <c r="Q195">
        <v>24539.908203125</v>
      </c>
    </row>
    <row r="196" spans="1:17" x14ac:dyDescent="0.45">
      <c r="A196">
        <v>195</v>
      </c>
      <c r="B196" s="1">
        <v>41285</v>
      </c>
      <c r="C196" s="2">
        <v>6.25E-2</v>
      </c>
      <c r="D196">
        <v>35173.54296875</v>
      </c>
      <c r="E196">
        <v>15173.4775390625</v>
      </c>
      <c r="F196">
        <v>20306.853515625</v>
      </c>
      <c r="G196">
        <v>29529.140625</v>
      </c>
      <c r="H196">
        <v>39287.91796875</v>
      </c>
      <c r="I196">
        <v>21040.126953125</v>
      </c>
      <c r="J196">
        <v>67981.859375</v>
      </c>
      <c r="K196">
        <v>62636.33203125</v>
      </c>
      <c r="L196">
        <v>67530.359375</v>
      </c>
      <c r="M196">
        <v>82114.109375</v>
      </c>
      <c r="N196">
        <v>14762.62109375</v>
      </c>
      <c r="O196">
        <v>46494.97265625</v>
      </c>
      <c r="P196">
        <v>25114.087890625</v>
      </c>
      <c r="Q196">
        <v>24223.802734375</v>
      </c>
    </row>
    <row r="197" spans="1:17" x14ac:dyDescent="0.45">
      <c r="A197">
        <v>196</v>
      </c>
      <c r="B197" s="1">
        <v>41285</v>
      </c>
      <c r="C197" s="2">
        <v>8.3333333333333329E-2</v>
      </c>
      <c r="D197">
        <v>32086.619140625</v>
      </c>
      <c r="E197">
        <v>15282.8984375</v>
      </c>
      <c r="F197">
        <v>20587.224609375</v>
      </c>
      <c r="G197">
        <v>27080.40234375</v>
      </c>
      <c r="H197">
        <v>37013.10546875</v>
      </c>
      <c r="I197">
        <v>21206.921875</v>
      </c>
      <c r="J197">
        <v>64267.2734375</v>
      </c>
      <c r="K197">
        <v>60743.546875</v>
      </c>
      <c r="L197">
        <v>62529.44921875</v>
      </c>
      <c r="M197">
        <v>76380.5078125</v>
      </c>
      <c r="N197">
        <v>13348.16796875</v>
      </c>
      <c r="O197">
        <v>46639.0703125</v>
      </c>
      <c r="P197">
        <v>21825.39453125</v>
      </c>
      <c r="Q197">
        <v>22049.126953125</v>
      </c>
    </row>
    <row r="198" spans="1:17" x14ac:dyDescent="0.45">
      <c r="A198">
        <v>197</v>
      </c>
      <c r="B198" s="1">
        <v>41285</v>
      </c>
      <c r="C198" s="2">
        <v>0.10416666666666667</v>
      </c>
      <c r="D198">
        <v>26544.2421875</v>
      </c>
      <c r="E198">
        <v>13593.9248046875</v>
      </c>
      <c r="F198">
        <v>20735.365234375</v>
      </c>
      <c r="G198">
        <v>22989.09375</v>
      </c>
      <c r="H198">
        <v>33728.5546875</v>
      </c>
      <c r="I198">
        <v>25216.970703125</v>
      </c>
      <c r="J198">
        <v>58553.65234375</v>
      </c>
      <c r="K198">
        <v>64354.96484375</v>
      </c>
      <c r="L198">
        <v>55243.4765625</v>
      </c>
      <c r="M198">
        <v>74238.6328125</v>
      </c>
      <c r="N198">
        <v>12795.9990234375</v>
      </c>
      <c r="O198">
        <v>50638.33984375</v>
      </c>
      <c r="P198">
        <v>20460.994140625</v>
      </c>
      <c r="Q198">
        <v>20392.58203125</v>
      </c>
    </row>
    <row r="199" spans="1:17" x14ac:dyDescent="0.45">
      <c r="A199">
        <v>198</v>
      </c>
      <c r="B199" s="1">
        <v>41285</v>
      </c>
      <c r="C199" s="2">
        <v>0.125</v>
      </c>
      <c r="D199">
        <v>26164.04296875</v>
      </c>
      <c r="E199">
        <v>13454.353515625</v>
      </c>
      <c r="F199">
        <v>20258.279296875</v>
      </c>
      <c r="G199">
        <v>23353.2890625</v>
      </c>
      <c r="H199">
        <v>33628.6171875</v>
      </c>
      <c r="I199">
        <v>23956.740234375</v>
      </c>
      <c r="J199">
        <v>56161.09765625</v>
      </c>
      <c r="K199">
        <v>62878.4140625</v>
      </c>
      <c r="L199">
        <v>54899.3671875</v>
      </c>
      <c r="M199">
        <v>72604.3671875</v>
      </c>
      <c r="N199">
        <v>12577.9306640625</v>
      </c>
      <c r="O199">
        <v>47569.27734375</v>
      </c>
      <c r="P199">
        <v>20639.02734375</v>
      </c>
      <c r="Q199">
        <v>20430.5625</v>
      </c>
    </row>
    <row r="200" spans="1:17" x14ac:dyDescent="0.45">
      <c r="A200">
        <v>199</v>
      </c>
      <c r="B200" s="1">
        <v>41285</v>
      </c>
      <c r="C200" s="2">
        <v>0.14583333333333334</v>
      </c>
      <c r="D200">
        <v>27498.84375</v>
      </c>
      <c r="E200">
        <v>14169.84375</v>
      </c>
      <c r="F200">
        <v>21582.109375</v>
      </c>
      <c r="G200">
        <v>25529.935546875</v>
      </c>
      <c r="H200">
        <v>36515.33203125</v>
      </c>
      <c r="I200">
        <v>22810.4921875</v>
      </c>
      <c r="J200">
        <v>59903.9609375</v>
      </c>
      <c r="K200">
        <v>63770.7421875</v>
      </c>
      <c r="L200">
        <v>60106.65234375</v>
      </c>
      <c r="M200">
        <v>75314.8828125</v>
      </c>
      <c r="N200">
        <v>12739.98046875</v>
      </c>
      <c r="O200">
        <v>47903.421875</v>
      </c>
      <c r="P200">
        <v>22117.39453125</v>
      </c>
      <c r="Q200">
        <v>21541.841796875</v>
      </c>
    </row>
    <row r="201" spans="1:17" x14ac:dyDescent="0.45">
      <c r="A201">
        <v>200</v>
      </c>
      <c r="B201" s="1">
        <v>41285</v>
      </c>
      <c r="C201" s="2">
        <v>0.16666666666666666</v>
      </c>
      <c r="D201">
        <v>25282.923828125</v>
      </c>
      <c r="E201">
        <v>12571.2607421875</v>
      </c>
      <c r="F201">
        <v>20770.98046875</v>
      </c>
      <c r="G201">
        <v>25354</v>
      </c>
      <c r="H201">
        <v>34660.35546875</v>
      </c>
      <c r="I201">
        <v>17447.41015625</v>
      </c>
      <c r="J201">
        <v>56172.984375</v>
      </c>
      <c r="K201">
        <v>59679.28515625</v>
      </c>
      <c r="L201">
        <v>57189.953125</v>
      </c>
      <c r="M201">
        <v>70855.84375</v>
      </c>
      <c r="N201">
        <v>11899.7099609375</v>
      </c>
      <c r="O201">
        <v>42459.71875</v>
      </c>
      <c r="P201">
        <v>24770.044921875</v>
      </c>
      <c r="Q201">
        <v>23559.61328125</v>
      </c>
    </row>
    <row r="202" spans="1:17" x14ac:dyDescent="0.45">
      <c r="A202">
        <v>201</v>
      </c>
      <c r="B202" s="1">
        <v>41285</v>
      </c>
      <c r="C202" s="2">
        <v>0.1875</v>
      </c>
      <c r="D202">
        <v>24503.82421875</v>
      </c>
      <c r="E202">
        <v>13406.3232421875</v>
      </c>
      <c r="F202">
        <v>18885.6171875</v>
      </c>
      <c r="G202">
        <v>24181.66796875</v>
      </c>
      <c r="H202">
        <v>32323.669921875</v>
      </c>
      <c r="I202">
        <v>15701.0224609375</v>
      </c>
      <c r="J202">
        <v>55547.77734375</v>
      </c>
      <c r="K202">
        <v>58933.7578125</v>
      </c>
      <c r="L202">
        <v>55082.69140625</v>
      </c>
      <c r="M202">
        <v>68357.15625</v>
      </c>
      <c r="N202">
        <v>13591.0166015625</v>
      </c>
      <c r="O202">
        <v>41790.40234375</v>
      </c>
      <c r="P202">
        <v>22267.35546875</v>
      </c>
      <c r="Q202">
        <v>23789.20703125</v>
      </c>
    </row>
    <row r="203" spans="1:17" x14ac:dyDescent="0.45">
      <c r="A203">
        <v>202</v>
      </c>
      <c r="B203" s="1">
        <v>41285</v>
      </c>
      <c r="C203" s="2">
        <v>0.20833333333333334</v>
      </c>
      <c r="D203">
        <v>25395.12890625</v>
      </c>
      <c r="E203">
        <v>15578.685546875</v>
      </c>
      <c r="F203">
        <v>16961.623046875</v>
      </c>
      <c r="G203">
        <v>25261.96875</v>
      </c>
      <c r="H203">
        <v>34282.0078125</v>
      </c>
      <c r="I203">
        <v>15000.9501953125</v>
      </c>
      <c r="J203">
        <v>57173.34375</v>
      </c>
      <c r="K203">
        <v>56039.99609375</v>
      </c>
      <c r="L203">
        <v>57339.9296875</v>
      </c>
      <c r="M203">
        <v>67781.328125</v>
      </c>
      <c r="N203">
        <v>15223.3974609375</v>
      </c>
      <c r="O203">
        <v>37970.2421875</v>
      </c>
      <c r="P203">
        <v>21719.279296875</v>
      </c>
      <c r="Q203">
        <v>21849.044921875</v>
      </c>
    </row>
    <row r="204" spans="1:17" x14ac:dyDescent="0.45">
      <c r="A204">
        <v>203</v>
      </c>
      <c r="B204" s="1">
        <v>41285</v>
      </c>
      <c r="C204" s="2">
        <v>0.22916666666666666</v>
      </c>
      <c r="D204">
        <v>29493.216796875</v>
      </c>
      <c r="E204">
        <v>16416.669921875</v>
      </c>
      <c r="F204">
        <v>17797.3828125</v>
      </c>
      <c r="G204">
        <v>27322.61328125</v>
      </c>
      <c r="H204">
        <v>39210.23046875</v>
      </c>
      <c r="I204">
        <v>16147.212890625</v>
      </c>
      <c r="J204">
        <v>62608.6484375</v>
      </c>
      <c r="K204">
        <v>58194.79296875</v>
      </c>
      <c r="L204">
        <v>64873.01953125</v>
      </c>
      <c r="M204">
        <v>74754.875</v>
      </c>
      <c r="N204">
        <v>14667.9189453125</v>
      </c>
      <c r="O204">
        <v>41621.4375</v>
      </c>
      <c r="P204">
        <v>22625.541015625</v>
      </c>
      <c r="Q204">
        <v>23137.470703125</v>
      </c>
    </row>
    <row r="205" spans="1:17" x14ac:dyDescent="0.45">
      <c r="A205">
        <v>204</v>
      </c>
      <c r="B205" s="1">
        <v>41285</v>
      </c>
      <c r="C205" s="2">
        <v>0.25</v>
      </c>
      <c r="D205">
        <v>33202.2421875</v>
      </c>
      <c r="E205">
        <v>16605.513671875</v>
      </c>
      <c r="F205">
        <v>17083.05859375</v>
      </c>
      <c r="G205">
        <v>27804.869140625</v>
      </c>
      <c r="H205">
        <v>41612.67578125</v>
      </c>
      <c r="I205">
        <v>15735.09375</v>
      </c>
      <c r="J205">
        <v>65185.19921875</v>
      </c>
      <c r="K205">
        <v>55863.92578125</v>
      </c>
      <c r="L205">
        <v>67238.3046875</v>
      </c>
      <c r="M205">
        <v>76569.0546875</v>
      </c>
      <c r="N205">
        <v>14862.650390625</v>
      </c>
      <c r="O205">
        <v>39948.87890625</v>
      </c>
      <c r="P205">
        <v>23183.625</v>
      </c>
      <c r="Q205">
        <v>22955.400390625</v>
      </c>
    </row>
    <row r="206" spans="1:17" x14ac:dyDescent="0.45">
      <c r="A206">
        <v>205</v>
      </c>
      <c r="B206" s="1">
        <v>41285</v>
      </c>
      <c r="C206" s="2">
        <v>0.27083333333333331</v>
      </c>
      <c r="D206">
        <v>33882.078125</v>
      </c>
      <c r="E206">
        <v>17393.04296875</v>
      </c>
      <c r="F206">
        <v>17176.03125</v>
      </c>
      <c r="G206">
        <v>26326.43359375</v>
      </c>
      <c r="H206">
        <v>43036.984375</v>
      </c>
      <c r="I206">
        <v>18329.892578125</v>
      </c>
      <c r="J206">
        <v>66899.9140625</v>
      </c>
      <c r="K206">
        <v>61674.0078125</v>
      </c>
      <c r="L206">
        <v>67684.7109375</v>
      </c>
      <c r="M206">
        <v>84757.7734375</v>
      </c>
      <c r="N206">
        <v>13754.28515625</v>
      </c>
      <c r="O206">
        <v>43025.87890625</v>
      </c>
      <c r="P206">
        <v>27758.734375</v>
      </c>
      <c r="Q206">
        <v>26878.693359375</v>
      </c>
    </row>
    <row r="207" spans="1:17" x14ac:dyDescent="0.45">
      <c r="A207">
        <v>206</v>
      </c>
      <c r="B207" s="1">
        <v>41285</v>
      </c>
      <c r="C207" s="2">
        <v>0.29166666666666669</v>
      </c>
      <c r="D207">
        <v>32422.931640625</v>
      </c>
      <c r="E207">
        <v>18365.173828125</v>
      </c>
      <c r="F207">
        <v>18778.6015625</v>
      </c>
      <c r="G207">
        <v>25129.873046875</v>
      </c>
      <c r="H207">
        <v>43961.51171875</v>
      </c>
      <c r="I207">
        <v>21376.21875</v>
      </c>
      <c r="J207">
        <v>66125.4296875</v>
      </c>
      <c r="K207">
        <v>63864.78125</v>
      </c>
      <c r="L207">
        <v>67362.421875</v>
      </c>
      <c r="M207">
        <v>84466.6640625</v>
      </c>
      <c r="N207">
        <v>15244.763671875</v>
      </c>
      <c r="O207">
        <v>46490.9765625</v>
      </c>
      <c r="P207">
        <v>28678.99609375</v>
      </c>
      <c r="Q207">
        <v>27832.9609375</v>
      </c>
    </row>
    <row r="208" spans="1:17" x14ac:dyDescent="0.45">
      <c r="A208">
        <v>207</v>
      </c>
      <c r="B208" s="1">
        <v>41285</v>
      </c>
      <c r="C208" s="2">
        <v>0.3125</v>
      </c>
      <c r="D208">
        <v>27295.544921875</v>
      </c>
      <c r="E208">
        <v>15972.1396484375</v>
      </c>
      <c r="F208">
        <v>18145.263671875</v>
      </c>
      <c r="G208">
        <v>26220.322265625</v>
      </c>
      <c r="H208">
        <v>35670.9921875</v>
      </c>
      <c r="I208">
        <v>19465.841796875</v>
      </c>
      <c r="J208">
        <v>58903.73828125</v>
      </c>
      <c r="K208">
        <v>59527.23046875</v>
      </c>
      <c r="L208">
        <v>58714.30859375</v>
      </c>
      <c r="M208">
        <v>74778.7578125</v>
      </c>
      <c r="N208">
        <v>13404.1884765625</v>
      </c>
      <c r="O208">
        <v>43313.94140625</v>
      </c>
      <c r="P208">
        <v>32643.962890625</v>
      </c>
      <c r="Q208">
        <v>23619.615234375</v>
      </c>
    </row>
    <row r="209" spans="1:17" x14ac:dyDescent="0.45">
      <c r="A209">
        <v>208</v>
      </c>
      <c r="B209" s="1">
        <v>41285</v>
      </c>
      <c r="C209" s="2">
        <v>0.33333333333333331</v>
      </c>
      <c r="D209">
        <v>22270.046875</v>
      </c>
      <c r="E209">
        <v>15305.697265625</v>
      </c>
      <c r="F209">
        <v>15118.4619140625</v>
      </c>
      <c r="G209">
        <v>16593.111328125</v>
      </c>
      <c r="H209">
        <v>28530.220703125</v>
      </c>
      <c r="I209">
        <v>20464.029296875</v>
      </c>
      <c r="J209">
        <v>48285.2578125</v>
      </c>
      <c r="K209">
        <v>50462.01953125</v>
      </c>
      <c r="L209">
        <v>47863.69140625</v>
      </c>
      <c r="M209">
        <v>60954.00390625</v>
      </c>
      <c r="N209">
        <v>12435.8837890625</v>
      </c>
      <c r="O209">
        <v>41058.6484375</v>
      </c>
      <c r="P209">
        <v>33568.20703125</v>
      </c>
      <c r="Q209">
        <v>21938.48046875</v>
      </c>
    </row>
    <row r="210" spans="1:17" x14ac:dyDescent="0.45">
      <c r="A210">
        <v>209</v>
      </c>
      <c r="B210" s="1">
        <v>41285</v>
      </c>
      <c r="C210" s="2">
        <v>0.35416666666666669</v>
      </c>
      <c r="D210">
        <v>14633.19921875</v>
      </c>
      <c r="E210">
        <v>7705.8037109375</v>
      </c>
      <c r="F210">
        <v>7483.66357421875</v>
      </c>
      <c r="G210">
        <v>5109.591796875</v>
      </c>
      <c r="H210">
        <v>14607.1982421875</v>
      </c>
      <c r="I210">
        <v>12005.931640625</v>
      </c>
      <c r="J210">
        <v>26758.2890625</v>
      </c>
      <c r="K210">
        <v>22838.15234375</v>
      </c>
      <c r="L210">
        <v>26399.611328125</v>
      </c>
      <c r="M210">
        <v>30431.68359375</v>
      </c>
      <c r="N210">
        <v>8456.6376953125</v>
      </c>
      <c r="O210">
        <v>21424.4140625</v>
      </c>
      <c r="P210">
        <v>32151.890625</v>
      </c>
      <c r="Q210">
        <v>13357.5068359375</v>
      </c>
    </row>
    <row r="211" spans="1:17" x14ac:dyDescent="0.45">
      <c r="A211">
        <v>210</v>
      </c>
      <c r="B211" s="1">
        <v>41285</v>
      </c>
      <c r="C211" s="2">
        <v>0.375</v>
      </c>
      <c r="D211">
        <v>10064.7412109375</v>
      </c>
      <c r="E211">
        <v>1302.48413085937</v>
      </c>
      <c r="F211">
        <v>637.54095458984295</v>
      </c>
      <c r="G211">
        <v>-4466.392578125</v>
      </c>
      <c r="H211">
        <v>9215.7509765625</v>
      </c>
      <c r="I211">
        <v>5439.05517578125</v>
      </c>
      <c r="J211">
        <v>11689.1123046875</v>
      </c>
      <c r="K211">
        <v>-958.27233886718705</v>
      </c>
      <c r="L211">
        <v>12415.3291015625</v>
      </c>
      <c r="M211">
        <v>8491.666015625</v>
      </c>
      <c r="N211">
        <v>2144.67041015625</v>
      </c>
      <c r="O211">
        <v>7342.82568359375</v>
      </c>
      <c r="P211">
        <v>35478.625</v>
      </c>
      <c r="Q211">
        <v>5648.63525390625</v>
      </c>
    </row>
    <row r="212" spans="1:17" x14ac:dyDescent="0.45">
      <c r="A212">
        <v>211</v>
      </c>
      <c r="B212" s="1">
        <v>41285</v>
      </c>
      <c r="C212" s="2">
        <v>0.39583333333333331</v>
      </c>
      <c r="D212">
        <v>3352.80859375</v>
      </c>
      <c r="E212">
        <v>-5058.68310546875</v>
      </c>
      <c r="F212">
        <v>-3062.62524414062</v>
      </c>
      <c r="G212">
        <v>-12940.1044921875</v>
      </c>
      <c r="H212">
        <v>-950.335205078125</v>
      </c>
      <c r="I212">
        <v>-1196.23620605468</v>
      </c>
      <c r="J212">
        <v>-4080.95190429687</v>
      </c>
      <c r="K212">
        <v>-22325.970703125</v>
      </c>
      <c r="L212">
        <v>-3932.9521484375</v>
      </c>
      <c r="M212">
        <v>-16829.32421875</v>
      </c>
      <c r="N212">
        <v>-3499.09741210937</v>
      </c>
      <c r="O212">
        <v>-4687.51123046875</v>
      </c>
      <c r="P212">
        <v>31895.732421875</v>
      </c>
      <c r="Q212">
        <v>-4302.47607421875</v>
      </c>
    </row>
    <row r="213" spans="1:17" x14ac:dyDescent="0.45">
      <c r="A213">
        <v>212</v>
      </c>
      <c r="B213" s="1">
        <v>41285</v>
      </c>
      <c r="C213" s="2">
        <v>0.41666666666666669</v>
      </c>
      <c r="D213">
        <v>-11137.7939453125</v>
      </c>
      <c r="E213">
        <v>-10937.6015625</v>
      </c>
      <c r="F213">
        <v>-8132.7021484375</v>
      </c>
      <c r="G213">
        <v>-17943.61328125</v>
      </c>
      <c r="H213">
        <v>-20775.64453125</v>
      </c>
      <c r="I213">
        <v>-7045.3994140625</v>
      </c>
      <c r="J213">
        <v>-28154.572265625</v>
      </c>
      <c r="K213">
        <v>-44594.07421875</v>
      </c>
      <c r="L213">
        <v>-27342.607421875</v>
      </c>
      <c r="M213">
        <v>-48681.62890625</v>
      </c>
      <c r="N213">
        <v>-9681.033203125</v>
      </c>
      <c r="O213">
        <v>-20148.2109375</v>
      </c>
      <c r="P213">
        <v>29763.193359375</v>
      </c>
      <c r="Q213">
        <v>-17875.9609375</v>
      </c>
    </row>
    <row r="214" spans="1:17" x14ac:dyDescent="0.45">
      <c r="A214">
        <v>213</v>
      </c>
      <c r="B214" s="1">
        <v>41285</v>
      </c>
      <c r="C214" s="2">
        <v>0.4375</v>
      </c>
      <c r="D214">
        <v>-21798.60546875</v>
      </c>
      <c r="E214">
        <v>-15644.33203125</v>
      </c>
      <c r="F214">
        <v>-17722.669921875</v>
      </c>
      <c r="G214">
        <v>-28249.021484375</v>
      </c>
      <c r="H214">
        <v>-35202.71484375</v>
      </c>
      <c r="I214">
        <v>-14174.7998046875</v>
      </c>
      <c r="J214">
        <v>-52926.2734375</v>
      </c>
      <c r="K214">
        <v>-69220.984375</v>
      </c>
      <c r="L214">
        <v>-50768.25390625</v>
      </c>
      <c r="M214">
        <v>-80131.8671875</v>
      </c>
      <c r="N214">
        <v>-10917.4296875</v>
      </c>
      <c r="O214">
        <v>-40324.44140625</v>
      </c>
      <c r="P214">
        <v>26990.515625</v>
      </c>
      <c r="Q214">
        <v>-27925.072265625</v>
      </c>
    </row>
    <row r="215" spans="1:17" x14ac:dyDescent="0.45">
      <c r="A215">
        <v>214</v>
      </c>
      <c r="B215" s="1">
        <v>41285</v>
      </c>
      <c r="C215" s="2">
        <v>0.45833333333333331</v>
      </c>
      <c r="D215">
        <v>-29398.701171875</v>
      </c>
      <c r="E215">
        <v>-16941.21484375</v>
      </c>
      <c r="F215">
        <v>-23087.861328125</v>
      </c>
      <c r="G215">
        <v>-30525.677734375</v>
      </c>
      <c r="H215">
        <v>-45045.8671875</v>
      </c>
      <c r="I215">
        <v>-16299.2275390625</v>
      </c>
      <c r="J215">
        <v>-68103.8203125</v>
      </c>
      <c r="K215">
        <v>-79526.546875</v>
      </c>
      <c r="L215">
        <v>-63093.21484375</v>
      </c>
      <c r="M215">
        <v>-94876.7890625</v>
      </c>
      <c r="N215">
        <v>-14854.6474609375</v>
      </c>
      <c r="O215">
        <v>-46474.95703125</v>
      </c>
      <c r="P215">
        <v>28674.91796875</v>
      </c>
      <c r="Q215">
        <v>-33968.93359375</v>
      </c>
    </row>
    <row r="216" spans="1:17" x14ac:dyDescent="0.45">
      <c r="A216">
        <v>215</v>
      </c>
      <c r="B216" s="1">
        <v>41285</v>
      </c>
      <c r="C216" s="2">
        <v>0.47916666666666669</v>
      </c>
      <c r="D216">
        <v>-23802.330078125</v>
      </c>
      <c r="E216">
        <v>-17312.5859375</v>
      </c>
      <c r="F216">
        <v>-24105.36328125</v>
      </c>
      <c r="G216">
        <v>-32143.384765625</v>
      </c>
      <c r="H216">
        <v>-43013.62890625</v>
      </c>
      <c r="I216">
        <v>-24008.783203125</v>
      </c>
      <c r="J216">
        <v>-60710.10546875</v>
      </c>
      <c r="K216">
        <v>-77547.703125</v>
      </c>
      <c r="L216">
        <v>-60518.5859375</v>
      </c>
      <c r="M216">
        <v>-85574.8984375</v>
      </c>
      <c r="N216">
        <v>-19272.044921875</v>
      </c>
      <c r="O216">
        <v>-49596</v>
      </c>
      <c r="P216">
        <v>40797.84765625</v>
      </c>
      <c r="Q216">
        <v>-26178.4453125</v>
      </c>
    </row>
    <row r="217" spans="1:17" x14ac:dyDescent="0.45">
      <c r="A217">
        <v>216</v>
      </c>
      <c r="B217" s="1">
        <v>41285</v>
      </c>
      <c r="C217" s="2">
        <v>0.5</v>
      </c>
      <c r="D217">
        <v>-20333.033203125</v>
      </c>
      <c r="E217">
        <v>-20396.232421875</v>
      </c>
      <c r="F217">
        <v>-22862.71875</v>
      </c>
      <c r="G217">
        <v>-30985.875</v>
      </c>
      <c r="H217">
        <v>-43307.9609375</v>
      </c>
      <c r="I217">
        <v>-16495.271484375</v>
      </c>
      <c r="J217">
        <v>-63694.7578125</v>
      </c>
      <c r="K217">
        <v>-71451.515625</v>
      </c>
      <c r="L217">
        <v>-62580.7734375</v>
      </c>
      <c r="M217">
        <v>-79119.578125</v>
      </c>
      <c r="N217">
        <v>-20524.44140625</v>
      </c>
      <c r="O217">
        <v>-46661.0546875</v>
      </c>
      <c r="P217">
        <v>44366.69921875</v>
      </c>
      <c r="Q217">
        <v>-29561.537109375</v>
      </c>
    </row>
    <row r="218" spans="1:17" x14ac:dyDescent="0.45">
      <c r="A218">
        <v>217</v>
      </c>
      <c r="B218" s="1">
        <v>41285</v>
      </c>
      <c r="C218" s="2">
        <v>0.52083333333333337</v>
      </c>
      <c r="D218">
        <v>-18373.86328125</v>
      </c>
      <c r="E218">
        <v>-16152.533203125</v>
      </c>
      <c r="F218">
        <v>-16828.541015625</v>
      </c>
      <c r="G218">
        <v>-18805.763671875</v>
      </c>
      <c r="H218">
        <v>-34874.21875</v>
      </c>
      <c r="I218">
        <v>-13854.7451171875</v>
      </c>
      <c r="J218">
        <v>-54786.72265625</v>
      </c>
      <c r="K218">
        <v>-41230.71875</v>
      </c>
      <c r="L218">
        <v>-42822.37109375</v>
      </c>
      <c r="M218">
        <v>-49367.7890625</v>
      </c>
      <c r="N218">
        <v>-14640.5849609375</v>
      </c>
      <c r="O218">
        <v>-40303.02734375</v>
      </c>
      <c r="P218">
        <v>54437.19140625</v>
      </c>
      <c r="Q218">
        <v>-12982.1953125</v>
      </c>
    </row>
    <row r="219" spans="1:17" x14ac:dyDescent="0.45">
      <c r="A219">
        <v>218</v>
      </c>
      <c r="B219" s="1">
        <v>41285</v>
      </c>
      <c r="C219" s="2">
        <v>0.54166666666666663</v>
      </c>
      <c r="D219">
        <v>-20486.390625</v>
      </c>
      <c r="E219">
        <v>-8314.890625</v>
      </c>
      <c r="F219">
        <v>-25432.443359375</v>
      </c>
      <c r="G219">
        <v>-20152.091796875</v>
      </c>
      <c r="H219">
        <v>-34345.5546875</v>
      </c>
      <c r="I219">
        <v>-20145.9921875</v>
      </c>
      <c r="J219">
        <v>-52388.14453125</v>
      </c>
      <c r="K219">
        <v>-66765.8671875</v>
      </c>
      <c r="L219">
        <v>-38803.390625</v>
      </c>
      <c r="M219">
        <v>-69329.6953125</v>
      </c>
      <c r="N219">
        <v>-6582.06103515625</v>
      </c>
      <c r="O219">
        <v>-54151.4921875</v>
      </c>
      <c r="P219">
        <v>47911.59765625</v>
      </c>
      <c r="Q219">
        <v>-23975.744140625</v>
      </c>
    </row>
    <row r="220" spans="1:17" x14ac:dyDescent="0.45">
      <c r="A220">
        <v>219</v>
      </c>
      <c r="B220" s="1">
        <v>41285</v>
      </c>
      <c r="C220" s="2">
        <v>0.5625</v>
      </c>
      <c r="D220">
        <v>-24092.865234375</v>
      </c>
      <c r="E220">
        <v>-5531.37841796875</v>
      </c>
      <c r="F220">
        <v>-27252.5</v>
      </c>
      <c r="G220">
        <v>-22153.044921875</v>
      </c>
      <c r="H220">
        <v>-35644.76171875</v>
      </c>
      <c r="I220">
        <v>-18969.765625</v>
      </c>
      <c r="J220">
        <v>-54450.63671875</v>
      </c>
      <c r="K220">
        <v>-64330.97265625</v>
      </c>
      <c r="L220">
        <v>-43476.578125</v>
      </c>
      <c r="M220">
        <v>-69261.75</v>
      </c>
      <c r="N220">
        <v>-6662.0830078125</v>
      </c>
      <c r="O220">
        <v>-48611.72265625</v>
      </c>
      <c r="P220">
        <v>53477.01953125</v>
      </c>
      <c r="Q220">
        <v>-18742.060546875</v>
      </c>
    </row>
    <row r="221" spans="1:17" x14ac:dyDescent="0.45">
      <c r="A221">
        <v>220</v>
      </c>
      <c r="B221" s="1">
        <v>41285</v>
      </c>
      <c r="C221" s="2">
        <v>0.58333333333333337</v>
      </c>
      <c r="D221">
        <v>-18839.294921875</v>
      </c>
      <c r="E221">
        <v>-1622.29089355468</v>
      </c>
      <c r="F221">
        <v>-26158.55078125</v>
      </c>
      <c r="G221">
        <v>-22242.80859375</v>
      </c>
      <c r="H221">
        <v>-27681.751953125</v>
      </c>
      <c r="I221">
        <v>-17281.951171875</v>
      </c>
      <c r="J221">
        <v>-45466.4296875</v>
      </c>
      <c r="K221">
        <v>-65299.328125</v>
      </c>
      <c r="L221">
        <v>-33674.05859375</v>
      </c>
      <c r="M221">
        <v>-67404.40625</v>
      </c>
      <c r="N221">
        <v>-2058.64770507812</v>
      </c>
      <c r="O221">
        <v>-47251.73828125</v>
      </c>
      <c r="P221">
        <v>47365.3359375</v>
      </c>
      <c r="Q221">
        <v>-20994.779296875</v>
      </c>
    </row>
    <row r="222" spans="1:17" x14ac:dyDescent="0.45">
      <c r="A222">
        <v>221</v>
      </c>
      <c r="B222" s="1">
        <v>41285</v>
      </c>
      <c r="C222" s="2">
        <v>0.60416666666666663</v>
      </c>
      <c r="D222">
        <v>-4001.03686523437</v>
      </c>
      <c r="E222">
        <v>1732.4267578125</v>
      </c>
      <c r="F222">
        <v>-13125.79296875</v>
      </c>
      <c r="G222">
        <v>-2248.69775390625</v>
      </c>
      <c r="H222">
        <v>-18404.732421875</v>
      </c>
      <c r="I222">
        <v>-11058.197265625</v>
      </c>
      <c r="J222">
        <v>-18082.20703125</v>
      </c>
      <c r="K222">
        <v>-34236.234375</v>
      </c>
      <c r="L222">
        <v>-1710.41467285156</v>
      </c>
      <c r="M222">
        <v>-29883.939453125</v>
      </c>
      <c r="N222">
        <v>-1872.58740234375</v>
      </c>
      <c r="O222">
        <v>-24275.83984375</v>
      </c>
      <c r="P222">
        <v>49381.98046875</v>
      </c>
      <c r="Q222">
        <v>-8744.8232421875</v>
      </c>
    </row>
    <row r="223" spans="1:17" x14ac:dyDescent="0.45">
      <c r="A223">
        <v>222</v>
      </c>
      <c r="B223" s="1">
        <v>41285</v>
      </c>
      <c r="C223" s="2">
        <v>0.625</v>
      </c>
      <c r="D223">
        <v>-6157.2744140625</v>
      </c>
      <c r="E223">
        <v>14383.12109375</v>
      </c>
      <c r="F223">
        <v>-6722.0654296875</v>
      </c>
      <c r="G223">
        <v>-2268.70288085937</v>
      </c>
      <c r="H223">
        <v>-3027.1064453125</v>
      </c>
      <c r="I223">
        <v>-8765.7197265625</v>
      </c>
      <c r="J223">
        <v>1236.28698730468</v>
      </c>
      <c r="K223">
        <v>-10745.8369140625</v>
      </c>
      <c r="L223">
        <v>11516.7822265625</v>
      </c>
      <c r="M223">
        <v>-10938.146484375</v>
      </c>
      <c r="N223">
        <v>8808.7587890625</v>
      </c>
      <c r="O223">
        <v>-10675.4443359375</v>
      </c>
      <c r="P223">
        <v>55863.5</v>
      </c>
      <c r="Q223">
        <v>5417.74755859375</v>
      </c>
    </row>
    <row r="224" spans="1:17" x14ac:dyDescent="0.45">
      <c r="A224">
        <v>223</v>
      </c>
      <c r="B224" s="1">
        <v>41285</v>
      </c>
      <c r="C224" s="2">
        <v>0.64583333333333337</v>
      </c>
      <c r="D224">
        <v>6200.52001953125</v>
      </c>
      <c r="E224">
        <v>18770.990234375</v>
      </c>
      <c r="F224">
        <v>1715.76721191406</v>
      </c>
      <c r="G224">
        <v>10395.2705078125</v>
      </c>
      <c r="H224">
        <v>16317.841796875</v>
      </c>
      <c r="I224">
        <v>-254.05032348632801</v>
      </c>
      <c r="J224">
        <v>29332.830078125</v>
      </c>
      <c r="K224">
        <v>15603.57421875</v>
      </c>
      <c r="L224">
        <v>34974.51171875</v>
      </c>
      <c r="M224">
        <v>23918.73828125</v>
      </c>
      <c r="N224">
        <v>10417.9423828125</v>
      </c>
      <c r="O224">
        <v>13394.3271484375</v>
      </c>
      <c r="P224">
        <v>61410.953125</v>
      </c>
      <c r="Q224">
        <v>11353.6669921875</v>
      </c>
    </row>
    <row r="225" spans="1:17" x14ac:dyDescent="0.45">
      <c r="A225">
        <v>224</v>
      </c>
      <c r="B225" s="1">
        <v>41285</v>
      </c>
      <c r="C225" s="2">
        <v>0.66666666666666663</v>
      </c>
      <c r="D225">
        <v>8155.70068359375</v>
      </c>
      <c r="E225">
        <v>23063.35546875</v>
      </c>
      <c r="F225">
        <v>3477.21142578125</v>
      </c>
      <c r="G225">
        <v>14011.3173828125</v>
      </c>
      <c r="H225">
        <v>17177.98828125</v>
      </c>
      <c r="I225">
        <v>9943.947265625</v>
      </c>
      <c r="J225">
        <v>35396.23046875</v>
      </c>
      <c r="K225">
        <v>22690.875</v>
      </c>
      <c r="L225">
        <v>37118.98828125</v>
      </c>
      <c r="M225">
        <v>30197.912109375</v>
      </c>
      <c r="N225">
        <v>8398.626953125</v>
      </c>
      <c r="O225">
        <v>28613.224609375</v>
      </c>
      <c r="P225">
        <v>61398.875</v>
      </c>
      <c r="Q225">
        <v>7188.3173828125</v>
      </c>
    </row>
    <row r="226" spans="1:17" x14ac:dyDescent="0.45">
      <c r="A226">
        <v>225</v>
      </c>
      <c r="B226" s="1">
        <v>41285</v>
      </c>
      <c r="C226" s="2">
        <v>0.6875</v>
      </c>
      <c r="D226">
        <v>4868.92626953125</v>
      </c>
      <c r="E226">
        <v>27643.2265625</v>
      </c>
      <c r="F226">
        <v>4881.80078125</v>
      </c>
      <c r="G226">
        <v>14684.623046875</v>
      </c>
      <c r="H226">
        <v>19872.78515625</v>
      </c>
      <c r="I226">
        <v>22598.4921875</v>
      </c>
      <c r="J226">
        <v>37364.72265625</v>
      </c>
      <c r="K226">
        <v>37743.45703125</v>
      </c>
      <c r="L226">
        <v>38785.37890625</v>
      </c>
      <c r="M226">
        <v>40918.13671875</v>
      </c>
      <c r="N226">
        <v>10541.2958984375</v>
      </c>
      <c r="O226">
        <v>40789.1796875</v>
      </c>
      <c r="P226">
        <v>60814.82421875</v>
      </c>
      <c r="Q226">
        <v>7306.36083984375</v>
      </c>
    </row>
    <row r="227" spans="1:17" x14ac:dyDescent="0.45">
      <c r="A227">
        <v>226</v>
      </c>
      <c r="B227" s="1">
        <v>41285</v>
      </c>
      <c r="C227" s="2">
        <v>0.70833333333333337</v>
      </c>
      <c r="D227">
        <v>32253.78125</v>
      </c>
      <c r="E227">
        <v>36091.69921875</v>
      </c>
      <c r="F227">
        <v>19957.8046875</v>
      </c>
      <c r="G227">
        <v>39496.40625</v>
      </c>
      <c r="H227">
        <v>42991.921875</v>
      </c>
      <c r="I227">
        <v>32892.5</v>
      </c>
      <c r="J227">
        <v>83859.5390625</v>
      </c>
      <c r="K227">
        <v>77909.8125</v>
      </c>
      <c r="L227">
        <v>85618.9609375</v>
      </c>
      <c r="M227">
        <v>96091</v>
      </c>
      <c r="N227">
        <v>14816.6279296875</v>
      </c>
      <c r="O227">
        <v>66957.6640625</v>
      </c>
      <c r="P227">
        <v>67444.515625</v>
      </c>
      <c r="Q227">
        <v>24347.876953125</v>
      </c>
    </row>
    <row r="228" spans="1:17" x14ac:dyDescent="0.45">
      <c r="A228">
        <v>227</v>
      </c>
      <c r="B228" s="1">
        <v>41285</v>
      </c>
      <c r="C228" s="2">
        <v>0.72916666666666663</v>
      </c>
      <c r="D228">
        <v>47855.8359375</v>
      </c>
      <c r="E228">
        <v>47319.6796875</v>
      </c>
      <c r="F228">
        <v>35061.94140625</v>
      </c>
      <c r="G228">
        <v>64014.08984375</v>
      </c>
      <c r="H228">
        <v>65281.63671875</v>
      </c>
      <c r="I228">
        <v>37615.37109375</v>
      </c>
      <c r="J228">
        <v>127625.3828125</v>
      </c>
      <c r="K228">
        <v>107988.953125</v>
      </c>
      <c r="L228">
        <v>127534.3984375</v>
      </c>
      <c r="M228">
        <v>134340.328125</v>
      </c>
      <c r="N228">
        <v>27634.556640625</v>
      </c>
      <c r="O228">
        <v>87348.28125</v>
      </c>
      <c r="P228">
        <v>69699.2109375</v>
      </c>
      <c r="Q228">
        <v>34781.26171875</v>
      </c>
    </row>
    <row r="229" spans="1:17" x14ac:dyDescent="0.45">
      <c r="A229">
        <v>228</v>
      </c>
      <c r="B229" s="1">
        <v>41285</v>
      </c>
      <c r="C229" s="2">
        <v>0.75</v>
      </c>
      <c r="D229">
        <v>57594.78515625</v>
      </c>
      <c r="E229">
        <v>45889.77734375</v>
      </c>
      <c r="F229">
        <v>53630.8359375</v>
      </c>
      <c r="G229">
        <v>83210.3984375</v>
      </c>
      <c r="H229">
        <v>74854.859375</v>
      </c>
      <c r="I229">
        <v>45228.8359375</v>
      </c>
      <c r="J229">
        <v>150100.984375</v>
      </c>
      <c r="K229">
        <v>149933.421875</v>
      </c>
      <c r="L229">
        <v>151857.203125</v>
      </c>
      <c r="M229">
        <v>174928.1875</v>
      </c>
      <c r="N229">
        <v>32011.98046875</v>
      </c>
      <c r="O229">
        <v>111165.859375</v>
      </c>
      <c r="P229">
        <v>78147.15625</v>
      </c>
      <c r="Q229">
        <v>55691.96875</v>
      </c>
    </row>
    <row r="230" spans="1:17" x14ac:dyDescent="0.45">
      <c r="A230">
        <v>229</v>
      </c>
      <c r="B230" s="1">
        <v>41285</v>
      </c>
      <c r="C230" s="2">
        <v>0.77083333333333337</v>
      </c>
      <c r="D230">
        <v>72411.4140625</v>
      </c>
      <c r="E230">
        <v>59052.46484375</v>
      </c>
      <c r="F230">
        <v>64264.90234375</v>
      </c>
      <c r="G230">
        <v>97932.75</v>
      </c>
      <c r="H230">
        <v>99619.40625</v>
      </c>
      <c r="I230">
        <v>54488.40625</v>
      </c>
      <c r="J230">
        <v>189776.359375</v>
      </c>
      <c r="K230">
        <v>185480.03125</v>
      </c>
      <c r="L230">
        <v>191132.90625</v>
      </c>
      <c r="M230">
        <v>218785.3125</v>
      </c>
      <c r="N230">
        <v>38721.8359375</v>
      </c>
      <c r="O230">
        <v>137396.4375</v>
      </c>
      <c r="P230">
        <v>84671.9453125</v>
      </c>
      <c r="Q230">
        <v>66721.5546875</v>
      </c>
    </row>
    <row r="231" spans="1:17" x14ac:dyDescent="0.45">
      <c r="A231">
        <v>230</v>
      </c>
      <c r="B231" s="1">
        <v>41285</v>
      </c>
      <c r="C231" s="2">
        <v>0.79166666666666663</v>
      </c>
      <c r="D231">
        <v>88218.7734375</v>
      </c>
      <c r="E231">
        <v>72769.75</v>
      </c>
      <c r="F231">
        <v>60914.4453125</v>
      </c>
      <c r="G231">
        <v>104277.9921875</v>
      </c>
      <c r="H231">
        <v>123363.1796875</v>
      </c>
      <c r="I231">
        <v>65465.21484375</v>
      </c>
      <c r="J231">
        <v>218363.953125</v>
      </c>
      <c r="K231">
        <v>203624.875</v>
      </c>
      <c r="L231">
        <v>222822.359375</v>
      </c>
      <c r="M231">
        <v>255213.5</v>
      </c>
      <c r="N231">
        <v>51029.74609375</v>
      </c>
      <c r="O231">
        <v>149972.515625</v>
      </c>
      <c r="P231">
        <v>88468.2265625</v>
      </c>
      <c r="Q231">
        <v>78713.4765625</v>
      </c>
    </row>
    <row r="232" spans="1:17" x14ac:dyDescent="0.45">
      <c r="A232">
        <v>231</v>
      </c>
      <c r="B232" s="1">
        <v>41285</v>
      </c>
      <c r="C232" s="2">
        <v>0.8125</v>
      </c>
      <c r="D232">
        <v>102707.21875</v>
      </c>
      <c r="E232">
        <v>74827.015625</v>
      </c>
      <c r="F232">
        <v>68667.5546875</v>
      </c>
      <c r="G232">
        <v>117430.265625</v>
      </c>
      <c r="H232">
        <v>134671.390625</v>
      </c>
      <c r="I232">
        <v>69071.0078125</v>
      </c>
      <c r="J232">
        <v>243425.390625</v>
      </c>
      <c r="K232">
        <v>217539.515625</v>
      </c>
      <c r="L232">
        <v>249315.25</v>
      </c>
      <c r="M232">
        <v>277285.8125</v>
      </c>
      <c r="N232">
        <v>55019.078125</v>
      </c>
      <c r="O232">
        <v>162444.359375</v>
      </c>
      <c r="P232">
        <v>85645.046875</v>
      </c>
      <c r="Q232">
        <v>80720.03125</v>
      </c>
    </row>
    <row r="233" spans="1:17" x14ac:dyDescent="0.45">
      <c r="A233">
        <v>232</v>
      </c>
      <c r="B233" s="1">
        <v>41285</v>
      </c>
      <c r="C233" s="2">
        <v>0.83333333333333337</v>
      </c>
      <c r="D233">
        <v>108137.671875</v>
      </c>
      <c r="E233">
        <v>69191.953125</v>
      </c>
      <c r="F233">
        <v>67336.453125</v>
      </c>
      <c r="G233">
        <v>115814.8359375</v>
      </c>
      <c r="H233">
        <v>137239.21875</v>
      </c>
      <c r="I233">
        <v>66536.4609375</v>
      </c>
      <c r="J233">
        <v>249218.515625</v>
      </c>
      <c r="K233">
        <v>212039.421875</v>
      </c>
      <c r="L233">
        <v>252508.15625</v>
      </c>
      <c r="M233">
        <v>283673.125</v>
      </c>
      <c r="N233">
        <v>52236.09765625</v>
      </c>
      <c r="O233">
        <v>164849.171875</v>
      </c>
      <c r="P233">
        <v>83972.6796875</v>
      </c>
      <c r="Q233">
        <v>82348.578125</v>
      </c>
    </row>
    <row r="234" spans="1:17" x14ac:dyDescent="0.45">
      <c r="A234">
        <v>233</v>
      </c>
      <c r="B234" s="1">
        <v>41285</v>
      </c>
      <c r="C234" s="2">
        <v>0.85416666666666663</v>
      </c>
      <c r="D234">
        <v>115809.3515625</v>
      </c>
      <c r="E234">
        <v>68864.171875</v>
      </c>
      <c r="F234">
        <v>66599.7890625</v>
      </c>
      <c r="G234">
        <v>107242.3984375</v>
      </c>
      <c r="H234">
        <v>140519.125</v>
      </c>
      <c r="I234">
        <v>63601.953125</v>
      </c>
      <c r="J234">
        <v>250171.875</v>
      </c>
      <c r="K234">
        <v>208262.40625</v>
      </c>
      <c r="L234">
        <v>244212.5</v>
      </c>
      <c r="M234">
        <v>281040.9375</v>
      </c>
      <c r="N234">
        <v>49939.61328125</v>
      </c>
      <c r="O234">
        <v>163630.640625</v>
      </c>
      <c r="P234">
        <v>88544.671875</v>
      </c>
      <c r="Q234">
        <v>84261.234375</v>
      </c>
    </row>
    <row r="235" spans="1:17" x14ac:dyDescent="0.45">
      <c r="A235">
        <v>234</v>
      </c>
      <c r="B235" s="1">
        <v>41285</v>
      </c>
      <c r="C235" s="2">
        <v>0.875</v>
      </c>
      <c r="D235">
        <v>124863.9375</v>
      </c>
      <c r="E235">
        <v>66409.609375</v>
      </c>
      <c r="F235">
        <v>64013.3125</v>
      </c>
      <c r="G235">
        <v>109860.7109375</v>
      </c>
      <c r="H235">
        <v>147631.53125</v>
      </c>
      <c r="I235">
        <v>61229.26171875</v>
      </c>
      <c r="J235">
        <v>252774.0625</v>
      </c>
      <c r="K235">
        <v>210691.25</v>
      </c>
      <c r="L235">
        <v>249566.171875</v>
      </c>
      <c r="M235">
        <v>285845.78125</v>
      </c>
      <c r="N235">
        <v>58588.36328125</v>
      </c>
      <c r="O235">
        <v>154213.875</v>
      </c>
      <c r="P235">
        <v>96357.25</v>
      </c>
      <c r="Q235">
        <v>91611.625</v>
      </c>
    </row>
    <row r="236" spans="1:17" x14ac:dyDescent="0.45">
      <c r="A236">
        <v>235</v>
      </c>
      <c r="B236" s="1">
        <v>41285</v>
      </c>
      <c r="C236" s="2">
        <v>0.89583333333333337</v>
      </c>
      <c r="D236">
        <v>104730.8359375</v>
      </c>
      <c r="E236">
        <v>65744.1015625</v>
      </c>
      <c r="F236">
        <v>63825.36328125</v>
      </c>
      <c r="G236">
        <v>103426.484375</v>
      </c>
      <c r="H236">
        <v>137262.640625</v>
      </c>
      <c r="I236">
        <v>62992.2578125</v>
      </c>
      <c r="J236">
        <v>234683.890625</v>
      </c>
      <c r="K236">
        <v>204504.96875</v>
      </c>
      <c r="L236">
        <v>235596.953125</v>
      </c>
      <c r="M236">
        <v>269015.71875</v>
      </c>
      <c r="N236">
        <v>53292.67578125</v>
      </c>
      <c r="O236">
        <v>149748.4375</v>
      </c>
      <c r="P236">
        <v>84354.3984375</v>
      </c>
      <c r="Q236">
        <v>81794.4453125</v>
      </c>
    </row>
    <row r="237" spans="1:17" x14ac:dyDescent="0.45">
      <c r="A237">
        <v>236</v>
      </c>
      <c r="B237" s="1">
        <v>41285</v>
      </c>
      <c r="C237" s="2">
        <v>0.91666666666666663</v>
      </c>
      <c r="D237">
        <v>90773.4140625</v>
      </c>
      <c r="E237">
        <v>60378.99609375</v>
      </c>
      <c r="F237">
        <v>58170.93359375</v>
      </c>
      <c r="G237">
        <v>98110.390625</v>
      </c>
      <c r="H237">
        <v>121605.8203125</v>
      </c>
      <c r="I237">
        <v>58993.3359375</v>
      </c>
      <c r="J237">
        <v>210413.890625</v>
      </c>
      <c r="K237">
        <v>195947.953125</v>
      </c>
      <c r="L237">
        <v>215382.3125</v>
      </c>
      <c r="M237">
        <v>252130.796875</v>
      </c>
      <c r="N237">
        <v>51786.11328125</v>
      </c>
      <c r="O237">
        <v>134411.515625</v>
      </c>
      <c r="P237">
        <v>82428.671875</v>
      </c>
      <c r="Q237">
        <v>78067.2890625</v>
      </c>
    </row>
    <row r="238" spans="1:17" x14ac:dyDescent="0.45">
      <c r="A238">
        <v>237</v>
      </c>
      <c r="B238" s="1">
        <v>41285</v>
      </c>
      <c r="C238" s="2">
        <v>0.9375</v>
      </c>
      <c r="D238">
        <v>84504.640625</v>
      </c>
      <c r="E238">
        <v>52931.6171875</v>
      </c>
      <c r="F238">
        <v>52115.52734375</v>
      </c>
      <c r="G238">
        <v>90560.109375</v>
      </c>
      <c r="H238">
        <v>110307.3515625</v>
      </c>
      <c r="I238">
        <v>55901.0390625</v>
      </c>
      <c r="J238">
        <v>189242.546875</v>
      </c>
      <c r="K238">
        <v>178581.6875</v>
      </c>
      <c r="L238">
        <v>197850.53125</v>
      </c>
      <c r="M238">
        <v>234721.515625</v>
      </c>
      <c r="N238">
        <v>46372.4375</v>
      </c>
      <c r="O238">
        <v>121795.265625</v>
      </c>
      <c r="P238">
        <v>74816.375</v>
      </c>
      <c r="Q238">
        <v>70878.859375</v>
      </c>
    </row>
    <row r="239" spans="1:17" x14ac:dyDescent="0.45">
      <c r="A239">
        <v>238</v>
      </c>
      <c r="B239" s="1">
        <v>41285</v>
      </c>
      <c r="C239" s="2">
        <v>0.95833333333333337</v>
      </c>
      <c r="D239">
        <v>73244.9375</v>
      </c>
      <c r="E239">
        <v>45327.99609375</v>
      </c>
      <c r="F239">
        <v>45237.06640625</v>
      </c>
      <c r="G239">
        <v>90187.28125</v>
      </c>
      <c r="H239">
        <v>94772.2890625</v>
      </c>
      <c r="I239">
        <v>51387.75390625</v>
      </c>
      <c r="J239">
        <v>165367.234375</v>
      </c>
      <c r="K239">
        <v>184725.171875</v>
      </c>
      <c r="L239">
        <v>176423.171875</v>
      </c>
      <c r="M239">
        <v>238613.296875</v>
      </c>
      <c r="N239">
        <v>37313.64453125</v>
      </c>
      <c r="O239">
        <v>111669.421875</v>
      </c>
      <c r="P239">
        <v>85621.5546875</v>
      </c>
      <c r="Q239">
        <v>78211.640625</v>
      </c>
    </row>
    <row r="240" spans="1:17" x14ac:dyDescent="0.45">
      <c r="A240">
        <v>239</v>
      </c>
      <c r="B240" s="1">
        <v>41285</v>
      </c>
      <c r="C240" s="2">
        <v>0.97916666666666663</v>
      </c>
      <c r="D240">
        <v>73903.71875</v>
      </c>
      <c r="E240">
        <v>42672.36328125</v>
      </c>
      <c r="F240">
        <v>45716.01171875</v>
      </c>
      <c r="G240">
        <v>90256.3203125</v>
      </c>
      <c r="H240">
        <v>93188.3046875</v>
      </c>
      <c r="I240">
        <v>47971.44921875</v>
      </c>
      <c r="J240">
        <v>161262</v>
      </c>
      <c r="K240">
        <v>175708.625</v>
      </c>
      <c r="L240">
        <v>172198.171875</v>
      </c>
      <c r="M240">
        <v>226928.6875</v>
      </c>
      <c r="N240">
        <v>33694.515625</v>
      </c>
      <c r="O240">
        <v>109545.1171875</v>
      </c>
      <c r="P240">
        <v>75826.578125</v>
      </c>
      <c r="Q240">
        <v>69918.390625</v>
      </c>
    </row>
    <row r="241" spans="1:53" x14ac:dyDescent="0.45">
      <c r="A241">
        <v>240</v>
      </c>
      <c r="B241" s="1">
        <v>41286</v>
      </c>
      <c r="C241" s="2">
        <v>0</v>
      </c>
      <c r="D241">
        <v>69625.7890625</v>
      </c>
      <c r="E241">
        <v>35143.7109375</v>
      </c>
      <c r="F241">
        <v>38795.9765625</v>
      </c>
      <c r="G241">
        <v>76656.3125</v>
      </c>
      <c r="H241">
        <v>80335.5625</v>
      </c>
      <c r="I241">
        <v>38367.37109375</v>
      </c>
      <c r="J241">
        <v>145971.578125</v>
      </c>
      <c r="K241">
        <v>147324.40625</v>
      </c>
      <c r="L241">
        <v>151571.03125</v>
      </c>
      <c r="M241">
        <v>198536.125</v>
      </c>
      <c r="N241">
        <v>28726.927734375</v>
      </c>
      <c r="O241">
        <v>91999.5</v>
      </c>
      <c r="P241">
        <v>65147.921875</v>
      </c>
      <c r="Q241">
        <v>63778.43359375</v>
      </c>
    </row>
    <row r="251" spans="1:53" x14ac:dyDescent="0.45">
      <c r="A251" t="s">
        <v>0</v>
      </c>
      <c r="U251" t="s">
        <v>2</v>
      </c>
      <c r="AN251" t="s">
        <v>17</v>
      </c>
    </row>
    <row r="252" spans="1:53" x14ac:dyDescent="0.45">
      <c r="B252" t="s">
        <v>3</v>
      </c>
      <c r="C252" t="s">
        <v>4</v>
      </c>
      <c r="D252" t="s">
        <v>5</v>
      </c>
      <c r="E252" t="s">
        <v>6</v>
      </c>
      <c r="F252" t="s">
        <v>7</v>
      </c>
      <c r="G252" t="s">
        <v>8</v>
      </c>
      <c r="H252" t="s">
        <v>9</v>
      </c>
      <c r="I252" t="s">
        <v>10</v>
      </c>
      <c r="J252" t="s">
        <v>11</v>
      </c>
      <c r="K252" t="s">
        <v>12</v>
      </c>
      <c r="L252" t="s">
        <v>13</v>
      </c>
      <c r="M252" t="s">
        <v>14</v>
      </c>
      <c r="N252" t="s">
        <v>15</v>
      </c>
      <c r="O252" t="s">
        <v>16</v>
      </c>
      <c r="V252" t="s">
        <v>3</v>
      </c>
      <c r="W252" t="s">
        <v>4</v>
      </c>
      <c r="X252" t="s">
        <v>5</v>
      </c>
      <c r="Y252" t="s">
        <v>6</v>
      </c>
      <c r="Z252" t="s">
        <v>7</v>
      </c>
      <c r="AA252" t="s">
        <v>8</v>
      </c>
      <c r="AB252" t="s">
        <v>9</v>
      </c>
      <c r="AC252" t="s">
        <v>10</v>
      </c>
      <c r="AD252" t="s">
        <v>11</v>
      </c>
      <c r="AE252" t="s">
        <v>12</v>
      </c>
      <c r="AF252" t="s">
        <v>13</v>
      </c>
      <c r="AG252" t="s">
        <v>14</v>
      </c>
      <c r="AH252" t="s">
        <v>15</v>
      </c>
      <c r="AI252" t="s">
        <v>16</v>
      </c>
      <c r="AK252" t="s">
        <v>23</v>
      </c>
      <c r="AN252" t="s">
        <v>3</v>
      </c>
      <c r="AO252" t="s">
        <v>4</v>
      </c>
      <c r="AP252" t="s">
        <v>5</v>
      </c>
      <c r="AQ252" t="s">
        <v>6</v>
      </c>
      <c r="AR252" t="s">
        <v>7</v>
      </c>
      <c r="AS252" t="s">
        <v>8</v>
      </c>
      <c r="AT252" t="s">
        <v>9</v>
      </c>
      <c r="AU252" t="s">
        <v>10</v>
      </c>
      <c r="AV252" t="s">
        <v>11</v>
      </c>
      <c r="AW252" t="s">
        <v>12</v>
      </c>
      <c r="AX252" t="s">
        <v>13</v>
      </c>
      <c r="AY252" t="s">
        <v>14</v>
      </c>
      <c r="AZ252" t="s">
        <v>15</v>
      </c>
      <c r="BA252" t="s">
        <v>16</v>
      </c>
    </row>
    <row r="253" spans="1:53" x14ac:dyDescent="0.45">
      <c r="A253">
        <v>1</v>
      </c>
      <c r="B253">
        <v>46313.484375</v>
      </c>
      <c r="C253">
        <v>24061.875</v>
      </c>
      <c r="D253">
        <v>26332.78515625</v>
      </c>
      <c r="E253">
        <v>50837.53125</v>
      </c>
      <c r="F253">
        <v>49241.890625</v>
      </c>
      <c r="G253">
        <v>27685.53125</v>
      </c>
      <c r="H253">
        <v>96272.4140625</v>
      </c>
      <c r="I253">
        <v>86422.8671875</v>
      </c>
      <c r="J253">
        <v>96115.5546875</v>
      </c>
      <c r="K253">
        <v>116083.2109375</v>
      </c>
      <c r="L253">
        <v>21324.66015625</v>
      </c>
      <c r="M253">
        <v>62722.22265625</v>
      </c>
      <c r="N253">
        <v>34798.53125</v>
      </c>
      <c r="O253">
        <v>31957.779296875</v>
      </c>
      <c r="U253" s="2">
        <v>2.0833333333333332E-2</v>
      </c>
      <c r="V253">
        <v>46313.484375</v>
      </c>
      <c r="W253">
        <v>24061.875</v>
      </c>
      <c r="X253">
        <v>26332.78515625</v>
      </c>
      <c r="Y253">
        <v>50837.53125</v>
      </c>
      <c r="Z253">
        <v>49241.890625</v>
      </c>
      <c r="AA253">
        <v>27685.53125</v>
      </c>
      <c r="AB253">
        <v>96272.4140625</v>
      </c>
      <c r="AC253">
        <v>86422.8671875</v>
      </c>
      <c r="AD253">
        <v>96115.5546875</v>
      </c>
      <c r="AE253">
        <v>116083.2109375</v>
      </c>
      <c r="AF253">
        <v>21324.66015625</v>
      </c>
      <c r="AG253">
        <v>62722.22265625</v>
      </c>
      <c r="AH253">
        <v>34798.53125</v>
      </c>
      <c r="AI253">
        <v>31957.779296875</v>
      </c>
      <c r="AK253">
        <f>SUM(V253:AI253)</f>
        <v>770170.337890625</v>
      </c>
      <c r="AM253" s="2">
        <v>0</v>
      </c>
      <c r="AN253">
        <f>(SUMIF($U253:$U492,"="&amp;$AM253,V253:V492))/(COUNTIF($U253:$U492,"="&amp;$AM253))</f>
        <v>56350.764062499999</v>
      </c>
      <c r="AO253">
        <f t="shared" ref="AO253:BA268" si="0">(SUMIF($U253:$U492,"="&amp;$AM253,W253:W492))/(COUNTIF($U253:$U492,"="&amp;$AM253))</f>
        <v>34716.770703125003</v>
      </c>
      <c r="AP253">
        <f t="shared" si="0"/>
        <v>34650.119531249999</v>
      </c>
      <c r="AQ253">
        <f t="shared" si="0"/>
        <v>59129.544531250001</v>
      </c>
      <c r="AR253">
        <f t="shared" si="0"/>
        <v>74435.94921875</v>
      </c>
      <c r="AS253">
        <f t="shared" si="0"/>
        <v>32961.614062499997</v>
      </c>
      <c r="AT253">
        <f t="shared" si="0"/>
        <v>125172.06875000001</v>
      </c>
      <c r="AU253">
        <f t="shared" si="0"/>
        <v>115417.965625</v>
      </c>
      <c r="AV253">
        <f t="shared" si="0"/>
        <v>129410.078125</v>
      </c>
      <c r="AW253">
        <f t="shared" si="0"/>
        <v>154150.77031250001</v>
      </c>
      <c r="AX253">
        <f t="shared" si="0"/>
        <v>28091.191015625001</v>
      </c>
      <c r="AY253">
        <f t="shared" si="0"/>
        <v>82754.688281249997</v>
      </c>
      <c r="AZ253">
        <f t="shared" si="0"/>
        <v>48945.75390625</v>
      </c>
      <c r="BA253">
        <f t="shared" si="0"/>
        <v>48642.611328125</v>
      </c>
    </row>
    <row r="254" spans="1:53" x14ac:dyDescent="0.45">
      <c r="A254">
        <v>2</v>
      </c>
      <c r="B254">
        <v>41062.359375</v>
      </c>
      <c r="C254">
        <v>21070.326171875</v>
      </c>
      <c r="D254">
        <v>25641.20703125</v>
      </c>
      <c r="E254">
        <v>44308.0078125</v>
      </c>
      <c r="F254">
        <v>45336.953125</v>
      </c>
      <c r="G254">
        <v>29013.703125</v>
      </c>
      <c r="H254">
        <v>87418.4140625</v>
      </c>
      <c r="I254">
        <v>88301.546875</v>
      </c>
      <c r="J254">
        <v>84146.640625</v>
      </c>
      <c r="K254">
        <v>111731.9609375</v>
      </c>
      <c r="L254">
        <v>20334.34765625</v>
      </c>
      <c r="M254">
        <v>64759.3515625</v>
      </c>
      <c r="N254">
        <v>31855.81640625</v>
      </c>
      <c r="O254">
        <v>32701.716796875</v>
      </c>
      <c r="U254" s="2">
        <v>4.1666666666666664E-2</v>
      </c>
      <c r="V254">
        <v>41062.359375</v>
      </c>
      <c r="W254">
        <v>21070.326171875</v>
      </c>
      <c r="X254">
        <v>25641.20703125</v>
      </c>
      <c r="Y254">
        <v>44308.0078125</v>
      </c>
      <c r="Z254">
        <v>45336.953125</v>
      </c>
      <c r="AA254">
        <v>29013.703125</v>
      </c>
      <c r="AB254">
        <v>87418.4140625</v>
      </c>
      <c r="AC254">
        <v>88301.546875</v>
      </c>
      <c r="AD254">
        <v>84146.640625</v>
      </c>
      <c r="AE254">
        <v>111731.9609375</v>
      </c>
      <c r="AF254">
        <v>20334.34765625</v>
      </c>
      <c r="AG254">
        <v>64759.3515625</v>
      </c>
      <c r="AH254">
        <v>31855.81640625</v>
      </c>
      <c r="AI254">
        <v>32701.716796875</v>
      </c>
      <c r="AK254">
        <f t="shared" ref="AK254:AK317" si="1">SUM(V254:AI254)</f>
        <v>727682.3515625</v>
      </c>
      <c r="AM254" s="2">
        <v>2.0833333333333332E-2</v>
      </c>
      <c r="AN254">
        <f t="shared" ref="AN254:AN300" si="2">(SUMIF($U254:$U493,"="&amp;$AM254,V254:V493))/(COUNTIF($U254:$U493,"="&amp;$AM254))</f>
        <v>51978.892578125</v>
      </c>
      <c r="AO254">
        <f t="shared" si="0"/>
        <v>27058.828125</v>
      </c>
      <c r="AP254">
        <f t="shared" si="0"/>
        <v>29589.2841796875</v>
      </c>
      <c r="AQ254">
        <f t="shared" si="0"/>
        <v>53879.8310546875</v>
      </c>
      <c r="AR254">
        <f t="shared" si="0"/>
        <v>60307.498046875</v>
      </c>
      <c r="AS254">
        <f t="shared" si="0"/>
        <v>33156.951171875</v>
      </c>
      <c r="AT254">
        <f t="shared" si="0"/>
        <v>106715.6796875</v>
      </c>
      <c r="AU254">
        <f t="shared" si="0"/>
        <v>100570.3828125</v>
      </c>
      <c r="AV254">
        <f t="shared" si="0"/>
        <v>111186.201171875</v>
      </c>
      <c r="AW254">
        <f t="shared" si="0"/>
        <v>136137.197265625</v>
      </c>
      <c r="AX254">
        <f t="shared" si="0"/>
        <v>22267.6689453125</v>
      </c>
      <c r="AY254">
        <f t="shared" si="0"/>
        <v>73703.771484375</v>
      </c>
      <c r="AZ254">
        <f t="shared" si="0"/>
        <v>41173.0849609375</v>
      </c>
      <c r="BA254">
        <f t="shared" si="0"/>
        <v>39570.26708984375</v>
      </c>
    </row>
    <row r="255" spans="1:53" x14ac:dyDescent="0.45">
      <c r="A255">
        <v>3</v>
      </c>
      <c r="B255">
        <v>36163.59765625</v>
      </c>
      <c r="C255">
        <v>16906.9296875</v>
      </c>
      <c r="D255">
        <v>22403.7890625</v>
      </c>
      <c r="E255">
        <v>36205.40234375</v>
      </c>
      <c r="F255">
        <v>41410.66796875</v>
      </c>
      <c r="G255">
        <v>23934.72265625</v>
      </c>
      <c r="H255">
        <v>74641.4296875</v>
      </c>
      <c r="I255">
        <v>76381.25</v>
      </c>
      <c r="J255">
        <v>73363.3515625</v>
      </c>
      <c r="K255">
        <v>97275.1875</v>
      </c>
      <c r="L255">
        <v>15290.7724609375</v>
      </c>
      <c r="M255">
        <v>54305.5390625</v>
      </c>
      <c r="N255">
        <v>29831.298828125</v>
      </c>
      <c r="O255">
        <v>30475.845703125</v>
      </c>
      <c r="U255" s="2">
        <v>6.25E-2</v>
      </c>
      <c r="V255">
        <v>36163.59765625</v>
      </c>
      <c r="W255">
        <v>16906.9296875</v>
      </c>
      <c r="X255">
        <v>22403.7890625</v>
      </c>
      <c r="Y255">
        <v>36205.40234375</v>
      </c>
      <c r="Z255">
        <v>41410.66796875</v>
      </c>
      <c r="AA255">
        <v>23934.72265625</v>
      </c>
      <c r="AB255">
        <v>74641.4296875</v>
      </c>
      <c r="AC255">
        <v>76381.25</v>
      </c>
      <c r="AD255">
        <v>73363.3515625</v>
      </c>
      <c r="AE255">
        <v>97275.1875</v>
      </c>
      <c r="AF255">
        <v>15290.7724609375</v>
      </c>
      <c r="AG255">
        <v>54305.5390625</v>
      </c>
      <c r="AH255">
        <v>29831.298828125</v>
      </c>
      <c r="AI255">
        <v>30475.845703125</v>
      </c>
      <c r="AK255">
        <f t="shared" si="1"/>
        <v>628589.7841796875</v>
      </c>
      <c r="AM255" s="2">
        <v>4.1666666666666664E-2</v>
      </c>
      <c r="AN255">
        <f t="shared" ref="AN255:BA257" si="3">(SUMIF($U255:$U493,"="&amp;$AM255,V255:V494))/(COUNTIF($U255:$U493,"="&amp;$AM255))</f>
        <v>51893.55859375</v>
      </c>
      <c r="AO255">
        <f t="shared" si="3"/>
        <v>24114.26611328125</v>
      </c>
      <c r="AP255">
        <f t="shared" si="3"/>
        <v>27736.1328125</v>
      </c>
      <c r="AQ255">
        <f t="shared" si="3"/>
        <v>49417.3232421875</v>
      </c>
      <c r="AR255">
        <f t="shared" si="3"/>
        <v>57745.158203125</v>
      </c>
      <c r="AS255">
        <f t="shared" si="3"/>
        <v>34008.7001953125</v>
      </c>
      <c r="AT255">
        <f t="shared" si="3"/>
        <v>102468.458984375</v>
      </c>
      <c r="AU255">
        <f t="shared" si="3"/>
        <v>95996.779296875</v>
      </c>
      <c r="AV255">
        <f t="shared" si="3"/>
        <v>104815.70703125</v>
      </c>
      <c r="AW255">
        <f t="shared" si="3"/>
        <v>131454.478515625</v>
      </c>
      <c r="AX255">
        <f t="shared" si="3"/>
        <v>19391.610595703125</v>
      </c>
      <c r="AY255">
        <f t="shared" si="3"/>
        <v>72404.5927734375</v>
      </c>
      <c r="AZ255">
        <f t="shared" si="3"/>
        <v>35390.1484375</v>
      </c>
      <c r="BA255">
        <f t="shared" si="3"/>
        <v>35692.37939453125</v>
      </c>
    </row>
    <row r="256" spans="1:53" x14ac:dyDescent="0.45">
      <c r="A256">
        <v>4</v>
      </c>
      <c r="B256">
        <v>32887.44921875</v>
      </c>
      <c r="C256">
        <v>17639.46484375</v>
      </c>
      <c r="D256">
        <v>22278.935546875</v>
      </c>
      <c r="E256">
        <v>29846.482421875</v>
      </c>
      <c r="F256">
        <v>43601.29296875</v>
      </c>
      <c r="G256">
        <v>20343.9296875</v>
      </c>
      <c r="H256">
        <v>72785.625</v>
      </c>
      <c r="I256">
        <v>68606.3125</v>
      </c>
      <c r="J256">
        <v>71126.3359375</v>
      </c>
      <c r="K256">
        <v>86744.7578125</v>
      </c>
      <c r="L256">
        <v>17072.654296875</v>
      </c>
      <c r="M256">
        <v>49290.09765625</v>
      </c>
      <c r="N256">
        <v>27050.392578125</v>
      </c>
      <c r="O256">
        <v>27853.6171875</v>
      </c>
      <c r="U256" s="2">
        <v>8.3333333333333329E-2</v>
      </c>
      <c r="V256">
        <v>32887.44921875</v>
      </c>
      <c r="W256">
        <v>17639.46484375</v>
      </c>
      <c r="X256">
        <v>22278.935546875</v>
      </c>
      <c r="Y256">
        <v>29846.482421875</v>
      </c>
      <c r="Z256">
        <v>43601.29296875</v>
      </c>
      <c r="AA256">
        <v>20343.9296875</v>
      </c>
      <c r="AB256">
        <v>72785.625</v>
      </c>
      <c r="AC256">
        <v>68606.3125</v>
      </c>
      <c r="AD256">
        <v>71126.3359375</v>
      </c>
      <c r="AE256">
        <v>86744.7578125</v>
      </c>
      <c r="AF256">
        <v>17072.654296875</v>
      </c>
      <c r="AG256">
        <v>49290.09765625</v>
      </c>
      <c r="AH256">
        <v>27050.392578125</v>
      </c>
      <c r="AI256">
        <v>27853.6171875</v>
      </c>
      <c r="AK256">
        <f t="shared" si="1"/>
        <v>587127.34765625</v>
      </c>
      <c r="AM256" s="2">
        <v>6.25E-2</v>
      </c>
      <c r="AN256">
        <f t="shared" si="3"/>
        <v>46119.96240234375</v>
      </c>
      <c r="AO256">
        <f t="shared" si="3"/>
        <v>20878.58837890625</v>
      </c>
      <c r="AP256">
        <f t="shared" si="3"/>
        <v>25070.7275390625</v>
      </c>
      <c r="AQ256">
        <f t="shared" si="3"/>
        <v>42278.4130859375</v>
      </c>
      <c r="AR256">
        <f t="shared" si="3"/>
        <v>52503.1181640625</v>
      </c>
      <c r="AS256">
        <f t="shared" si="3"/>
        <v>28812.1650390625</v>
      </c>
      <c r="AT256">
        <f t="shared" si="3"/>
        <v>91209.23828125</v>
      </c>
      <c r="AU256">
        <f t="shared" si="3"/>
        <v>88867.2041015625</v>
      </c>
      <c r="AV256">
        <f t="shared" si="3"/>
        <v>92645.361328125</v>
      </c>
      <c r="AW256">
        <f t="shared" si="3"/>
        <v>119451.5234375</v>
      </c>
      <c r="AX256">
        <f t="shared" si="3"/>
        <v>17844.220703125</v>
      </c>
      <c r="AY256">
        <f t="shared" si="3"/>
        <v>62686.7109375</v>
      </c>
      <c r="AZ256">
        <f t="shared" si="3"/>
        <v>35730.24951171875</v>
      </c>
      <c r="BA256">
        <f t="shared" si="3"/>
        <v>36224.18505859375</v>
      </c>
    </row>
    <row r="257" spans="1:53" x14ac:dyDescent="0.45">
      <c r="A257">
        <v>5</v>
      </c>
      <c r="B257">
        <v>29002.380859375</v>
      </c>
      <c r="C257">
        <v>12844.52734375</v>
      </c>
      <c r="D257">
        <v>22118.52734375</v>
      </c>
      <c r="E257">
        <v>29493.1875</v>
      </c>
      <c r="F257">
        <v>35153.1796875</v>
      </c>
      <c r="G257">
        <v>24428.775390625</v>
      </c>
      <c r="H257">
        <v>63790.77734375</v>
      </c>
      <c r="I257">
        <v>70383.1015625</v>
      </c>
      <c r="J257">
        <v>62037.71875</v>
      </c>
      <c r="K257">
        <v>85030.6171875</v>
      </c>
      <c r="L257">
        <v>12379.8642578125</v>
      </c>
      <c r="M257">
        <v>51010.4453125</v>
      </c>
      <c r="N257">
        <v>25418.193359375</v>
      </c>
      <c r="O257">
        <v>25262.14453125</v>
      </c>
      <c r="U257" s="2">
        <v>0.10416666666666667</v>
      </c>
      <c r="V257">
        <v>29002.380859375</v>
      </c>
      <c r="W257">
        <v>12844.52734375</v>
      </c>
      <c r="X257">
        <v>22118.52734375</v>
      </c>
      <c r="Y257">
        <v>29493.1875</v>
      </c>
      <c r="Z257">
        <v>35153.1796875</v>
      </c>
      <c r="AA257">
        <v>24428.775390625</v>
      </c>
      <c r="AB257">
        <v>63790.77734375</v>
      </c>
      <c r="AC257">
        <v>70383.1015625</v>
      </c>
      <c r="AD257">
        <v>62037.71875</v>
      </c>
      <c r="AE257">
        <v>85030.6171875</v>
      </c>
      <c r="AF257">
        <v>12379.8642578125</v>
      </c>
      <c r="AG257">
        <v>51010.4453125</v>
      </c>
      <c r="AH257">
        <v>25418.193359375</v>
      </c>
      <c r="AI257">
        <v>25262.14453125</v>
      </c>
      <c r="AK257">
        <f t="shared" si="1"/>
        <v>548353.4404296875</v>
      </c>
      <c r="AM257" s="2">
        <v>8.3333333333333329E-2</v>
      </c>
      <c r="AN257">
        <f t="shared" si="3"/>
        <v>41994.8798828125</v>
      </c>
      <c r="AO257">
        <f t="shared" si="3"/>
        <v>20061.763427734375</v>
      </c>
      <c r="AP257">
        <f t="shared" si="3"/>
        <v>23472.875</v>
      </c>
      <c r="AQ257">
        <f t="shared" si="3"/>
        <v>38663.44189453125</v>
      </c>
      <c r="AR257">
        <f t="shared" si="3"/>
        <v>48833.701171875</v>
      </c>
      <c r="AS257">
        <f t="shared" si="3"/>
        <v>27907.5869140625</v>
      </c>
      <c r="AT257">
        <f t="shared" si="3"/>
        <v>84605.9462890625</v>
      </c>
      <c r="AU257">
        <f t="shared" si="3"/>
        <v>84359.185546875</v>
      </c>
      <c r="AV257">
        <f t="shared" si="3"/>
        <v>85542.1904296875</v>
      </c>
      <c r="AW257">
        <f t="shared" si="3"/>
        <v>111062.837890625</v>
      </c>
      <c r="AX257">
        <f t="shared" si="3"/>
        <v>16491.6923828125</v>
      </c>
      <c r="AY257">
        <f t="shared" si="3"/>
        <v>61027.8818359375</v>
      </c>
      <c r="AZ257">
        <f t="shared" si="3"/>
        <v>31926.31298828125</v>
      </c>
      <c r="BA257">
        <f t="shared" si="3"/>
        <v>33483.87451171875</v>
      </c>
    </row>
    <row r="258" spans="1:53" x14ac:dyDescent="0.45">
      <c r="A258">
        <v>6</v>
      </c>
      <c r="B258">
        <v>29065.9921875</v>
      </c>
      <c r="C258">
        <v>13685.478515625</v>
      </c>
      <c r="D258">
        <v>22126.78515625</v>
      </c>
      <c r="E258">
        <v>28033.001953125</v>
      </c>
      <c r="F258">
        <v>36373.5703125</v>
      </c>
      <c r="G258">
        <v>23558.640625</v>
      </c>
      <c r="H258">
        <v>64896.75</v>
      </c>
      <c r="I258">
        <v>68950.609375</v>
      </c>
      <c r="J258">
        <v>63267.40625</v>
      </c>
      <c r="K258">
        <v>83156.3828125</v>
      </c>
      <c r="L258">
        <v>13101.201171875</v>
      </c>
      <c r="M258">
        <v>50652.33203125</v>
      </c>
      <c r="N258">
        <v>24015.8515625</v>
      </c>
      <c r="O258">
        <v>25276.150390625</v>
      </c>
      <c r="U258" s="2">
        <v>0.125</v>
      </c>
      <c r="V258">
        <v>29065.9921875</v>
      </c>
      <c r="W258">
        <v>13685.478515625</v>
      </c>
      <c r="X258">
        <v>22126.78515625</v>
      </c>
      <c r="Y258">
        <v>28033.001953125</v>
      </c>
      <c r="Z258">
        <v>36373.5703125</v>
      </c>
      <c r="AA258">
        <v>23558.640625</v>
      </c>
      <c r="AB258">
        <v>64896.75</v>
      </c>
      <c r="AC258">
        <v>68950.609375</v>
      </c>
      <c r="AD258">
        <v>63267.40625</v>
      </c>
      <c r="AE258">
        <v>83156.3828125</v>
      </c>
      <c r="AF258">
        <v>13101.201171875</v>
      </c>
      <c r="AG258">
        <v>50652.33203125</v>
      </c>
      <c r="AH258">
        <v>24015.8515625</v>
      </c>
      <c r="AI258">
        <v>25276.150390625</v>
      </c>
      <c r="AK258">
        <f t="shared" si="1"/>
        <v>546160.15234375</v>
      </c>
      <c r="AM258" s="2">
        <v>0.10416666666666667</v>
      </c>
      <c r="AN258">
        <f t="shared" ref="AN258:BA259" ca="1" si="4">(SUMIF($U258:$U498,"="&amp;$AM258,V258:V497))/(COUNTIF($U258:$U498,"="&amp;$AM258))</f>
        <v>39863.36572265625</v>
      </c>
      <c r="AO258">
        <f t="shared" ca="1" si="4"/>
        <v>18355.074951171875</v>
      </c>
      <c r="AP258">
        <f t="shared" ca="1" si="4"/>
        <v>24803.45166015625</v>
      </c>
      <c r="AQ258">
        <f t="shared" ca="1" si="4"/>
        <v>38211.423828125</v>
      </c>
      <c r="AR258">
        <f t="shared" ca="1" si="4"/>
        <v>46290.0224609375</v>
      </c>
      <c r="AS258">
        <f t="shared" ca="1" si="4"/>
        <v>32084.22705078125</v>
      </c>
      <c r="AT258">
        <f t="shared" ca="1" si="4"/>
        <v>82478.8544921875</v>
      </c>
      <c r="AU258">
        <f t="shared" ca="1" si="4"/>
        <v>89146.0859375</v>
      </c>
      <c r="AV258">
        <f t="shared" ca="1" si="4"/>
        <v>82909.078125</v>
      </c>
      <c r="AW258">
        <f t="shared" ca="1" si="4"/>
        <v>112886.59765625</v>
      </c>
      <c r="AX258">
        <f t="shared" ca="1" si="4"/>
        <v>15995.9912109375</v>
      </c>
      <c r="AY258">
        <f t="shared" ca="1" si="4"/>
        <v>66278.3857421875</v>
      </c>
      <c r="AZ258">
        <f t="shared" ca="1" si="4"/>
        <v>30374.47998046875</v>
      </c>
      <c r="BA258">
        <f t="shared" ca="1" si="4"/>
        <v>33107.68603515625</v>
      </c>
    </row>
    <row r="259" spans="1:53" x14ac:dyDescent="0.45">
      <c r="A259">
        <v>7</v>
      </c>
      <c r="B259">
        <v>29000.189453125</v>
      </c>
      <c r="C259">
        <v>12618.8525390625</v>
      </c>
      <c r="D259">
        <v>22236.28125</v>
      </c>
      <c r="E259">
        <v>28122.955078125</v>
      </c>
      <c r="F259">
        <v>35720.578125</v>
      </c>
      <c r="G259">
        <v>23686.65234375</v>
      </c>
      <c r="H259">
        <v>64168.96875</v>
      </c>
      <c r="I259">
        <v>66901.8515625</v>
      </c>
      <c r="J259">
        <v>62997.26171875</v>
      </c>
      <c r="K259">
        <v>81876.078125</v>
      </c>
      <c r="L259">
        <v>12237.830078125</v>
      </c>
      <c r="M259">
        <v>50536.27734375</v>
      </c>
      <c r="N259">
        <v>22567.46875</v>
      </c>
      <c r="O259">
        <v>23793.6640625</v>
      </c>
      <c r="U259" s="2">
        <v>0.14583333333333334</v>
      </c>
      <c r="V259">
        <v>29000.189453125</v>
      </c>
      <c r="W259">
        <v>12618.8525390625</v>
      </c>
      <c r="X259">
        <v>22236.28125</v>
      </c>
      <c r="Y259">
        <v>28122.955078125</v>
      </c>
      <c r="Z259">
        <v>35720.578125</v>
      </c>
      <c r="AA259">
        <v>23686.65234375</v>
      </c>
      <c r="AB259">
        <v>64168.96875</v>
      </c>
      <c r="AC259">
        <v>66901.8515625</v>
      </c>
      <c r="AD259">
        <v>62997.26171875</v>
      </c>
      <c r="AE259">
        <v>81876.078125</v>
      </c>
      <c r="AF259">
        <v>12237.830078125</v>
      </c>
      <c r="AG259">
        <v>50536.27734375</v>
      </c>
      <c r="AH259">
        <v>22567.46875</v>
      </c>
      <c r="AI259">
        <v>23793.6640625</v>
      </c>
      <c r="AK259">
        <f t="shared" si="1"/>
        <v>536464.9091796875</v>
      </c>
      <c r="AM259" s="2">
        <v>0.125</v>
      </c>
      <c r="AN259">
        <f t="shared" ca="1" si="4"/>
        <v>37701.10693359375</v>
      </c>
      <c r="AO259">
        <f t="shared" ca="1" si="4"/>
        <v>19451.273193359375</v>
      </c>
      <c r="AP259">
        <f t="shared" ca="1" si="4"/>
        <v>24820.8583984375</v>
      </c>
      <c r="AQ259">
        <f t="shared" ca="1" si="4"/>
        <v>36235.77001953125</v>
      </c>
      <c r="AR259">
        <f t="shared" ca="1" si="4"/>
        <v>47113.0615234375</v>
      </c>
      <c r="AS259">
        <f t="shared" ca="1" si="4"/>
        <v>31009.0751953125</v>
      </c>
      <c r="AT259">
        <f t="shared" ca="1" si="4"/>
        <v>80476.615234375</v>
      </c>
      <c r="AU259">
        <f t="shared" ca="1" si="4"/>
        <v>84547.6787109375</v>
      </c>
      <c r="AV259">
        <f t="shared" ca="1" si="4"/>
        <v>81588.443359375</v>
      </c>
      <c r="AW259">
        <f t="shared" ca="1" si="4"/>
        <v>106477.9296875</v>
      </c>
      <c r="AX259">
        <f t="shared" ca="1" si="4"/>
        <v>15900.46044921875</v>
      </c>
      <c r="AY259">
        <f t="shared" ca="1" si="4"/>
        <v>64846.9189453125</v>
      </c>
      <c r="AZ259">
        <f t="shared" ca="1" si="4"/>
        <v>28437.9853515625</v>
      </c>
      <c r="BA259">
        <f t="shared" ca="1" si="4"/>
        <v>30483.33740234375</v>
      </c>
    </row>
    <row r="260" spans="1:53" x14ac:dyDescent="0.45">
      <c r="A260">
        <v>8</v>
      </c>
      <c r="B260">
        <v>28712.646484375</v>
      </c>
      <c r="C260">
        <v>13397.4228515625</v>
      </c>
      <c r="D260">
        <v>22705.95703125</v>
      </c>
      <c r="E260">
        <v>28562.951171875</v>
      </c>
      <c r="F260">
        <v>37803.515625</v>
      </c>
      <c r="G260">
        <v>19411.65625</v>
      </c>
      <c r="H260">
        <v>65208.9609375</v>
      </c>
      <c r="I260">
        <v>63869.69921875</v>
      </c>
      <c r="J260">
        <v>64893.703125</v>
      </c>
      <c r="K260">
        <v>79120.8984375</v>
      </c>
      <c r="L260">
        <v>13008.0703125</v>
      </c>
      <c r="M260">
        <v>46709.06640625</v>
      </c>
      <c r="N260">
        <v>23661.728515625</v>
      </c>
      <c r="O260">
        <v>24583.9296875</v>
      </c>
      <c r="U260" s="2">
        <v>0.16666666666666666</v>
      </c>
      <c r="V260">
        <v>28712.646484375</v>
      </c>
      <c r="W260">
        <v>13397.4228515625</v>
      </c>
      <c r="X260">
        <v>22705.95703125</v>
      </c>
      <c r="Y260">
        <v>28562.951171875</v>
      </c>
      <c r="Z260">
        <v>37803.515625</v>
      </c>
      <c r="AA260">
        <v>19411.65625</v>
      </c>
      <c r="AB260">
        <v>65208.9609375</v>
      </c>
      <c r="AC260">
        <v>63869.69921875</v>
      </c>
      <c r="AD260">
        <v>64893.703125</v>
      </c>
      <c r="AE260">
        <v>79120.8984375</v>
      </c>
      <c r="AF260">
        <v>13008.0703125</v>
      </c>
      <c r="AG260">
        <v>46709.06640625</v>
      </c>
      <c r="AH260">
        <v>23661.728515625</v>
      </c>
      <c r="AI260">
        <v>24583.9296875</v>
      </c>
      <c r="AK260">
        <f t="shared" si="1"/>
        <v>531650.2060546875</v>
      </c>
      <c r="AM260" s="2">
        <v>0.14583333333333334</v>
      </c>
      <c r="AN260">
        <f t="shared" ref="AN260:BA260" si="5">(SUMIF($U260:$U499,"="&amp;$AM260,V260:V499))/(COUNTIF($U260:$U499,"="&amp;$AM260))</f>
        <v>36847.11279296875</v>
      </c>
      <c r="AO260">
        <f t="shared" si="5"/>
        <v>18843.712158203125</v>
      </c>
      <c r="AP260">
        <f t="shared" si="5"/>
        <v>25171.06884765625</v>
      </c>
      <c r="AQ260">
        <f t="shared" si="5"/>
        <v>35997.9423828125</v>
      </c>
      <c r="AR260">
        <f t="shared" si="5"/>
        <v>46645.5419921875</v>
      </c>
      <c r="AS260">
        <f t="shared" si="5"/>
        <v>29530.78369140625</v>
      </c>
      <c r="AT260">
        <f t="shared" si="5"/>
        <v>79543.5576171875</v>
      </c>
      <c r="AU260">
        <f t="shared" si="5"/>
        <v>83351.7138671875</v>
      </c>
      <c r="AV260">
        <f t="shared" si="5"/>
        <v>80502.6064453125</v>
      </c>
      <c r="AW260">
        <f t="shared" si="5"/>
        <v>105216.107421875</v>
      </c>
      <c r="AX260">
        <f t="shared" si="5"/>
        <v>15489.8408203125</v>
      </c>
      <c r="AY260">
        <f t="shared" si="5"/>
        <v>63013.2900390625</v>
      </c>
      <c r="AZ260">
        <f t="shared" si="5"/>
        <v>30026.01416015625</v>
      </c>
      <c r="BA260">
        <f t="shared" si="5"/>
        <v>31244.78369140625</v>
      </c>
    </row>
    <row r="261" spans="1:53" x14ac:dyDescent="0.45">
      <c r="A261">
        <v>9</v>
      </c>
      <c r="B261">
        <v>28250.802734375</v>
      </c>
      <c r="C261">
        <v>13284.2763671875</v>
      </c>
      <c r="D261">
        <v>23447.771484375</v>
      </c>
      <c r="E261">
        <v>28138.552734375</v>
      </c>
      <c r="F261">
        <v>36604.5625</v>
      </c>
      <c r="G261">
        <v>18387.625</v>
      </c>
      <c r="H261">
        <v>66223.453125</v>
      </c>
      <c r="I261">
        <v>64679.078125</v>
      </c>
      <c r="J261">
        <v>63457.4765625</v>
      </c>
      <c r="K261">
        <v>78261.890625</v>
      </c>
      <c r="L261">
        <v>12904.0302734375</v>
      </c>
      <c r="M261">
        <v>47643.3984375</v>
      </c>
      <c r="N261">
        <v>23331.765625</v>
      </c>
      <c r="O261">
        <v>24699.984375</v>
      </c>
      <c r="U261" s="2">
        <v>0.1875</v>
      </c>
      <c r="V261">
        <v>28250.802734375</v>
      </c>
      <c r="W261">
        <v>13284.2763671875</v>
      </c>
      <c r="X261">
        <v>23447.771484375</v>
      </c>
      <c r="Y261">
        <v>28138.552734375</v>
      </c>
      <c r="Z261">
        <v>36604.5625</v>
      </c>
      <c r="AA261">
        <v>18387.625</v>
      </c>
      <c r="AB261">
        <v>66223.453125</v>
      </c>
      <c r="AC261">
        <v>64679.078125</v>
      </c>
      <c r="AD261">
        <v>63457.4765625</v>
      </c>
      <c r="AE261">
        <v>78261.890625</v>
      </c>
      <c r="AF261">
        <v>12904.0302734375</v>
      </c>
      <c r="AG261">
        <v>47643.3984375</v>
      </c>
      <c r="AH261">
        <v>23331.765625</v>
      </c>
      <c r="AI261">
        <v>24699.984375</v>
      </c>
      <c r="AK261">
        <f t="shared" si="1"/>
        <v>529314.66796875</v>
      </c>
      <c r="AM261" s="2">
        <v>0.16666666666666666</v>
      </c>
      <c r="AN261">
        <f t="shared" si="2"/>
        <v>37365.0048828125</v>
      </c>
      <c r="AO261">
        <f t="shared" si="0"/>
        <v>17514.72607421875</v>
      </c>
      <c r="AP261">
        <f t="shared" si="0"/>
        <v>24720.5927734375</v>
      </c>
      <c r="AQ261">
        <f t="shared" si="0"/>
        <v>37219.54931640625</v>
      </c>
      <c r="AR261">
        <f t="shared" si="0"/>
        <v>45431.5029296875</v>
      </c>
      <c r="AS261">
        <f t="shared" si="0"/>
        <v>23872.16015625</v>
      </c>
      <c r="AT261">
        <f t="shared" si="0"/>
        <v>78953.01953125</v>
      </c>
      <c r="AU261">
        <f t="shared" si="0"/>
        <v>75423.0947265625</v>
      </c>
      <c r="AV261">
        <f t="shared" si="0"/>
        <v>80517.7119140625</v>
      </c>
      <c r="AW261">
        <f t="shared" si="0"/>
        <v>98861.38671875</v>
      </c>
      <c r="AX261">
        <f t="shared" si="0"/>
        <v>14088.3994140625</v>
      </c>
      <c r="AY261">
        <f t="shared" si="0"/>
        <v>57428.486328125</v>
      </c>
      <c r="AZ261">
        <f t="shared" si="0"/>
        <v>28312.42236328125</v>
      </c>
      <c r="BA261">
        <f t="shared" si="0"/>
        <v>29134.37548828125</v>
      </c>
    </row>
    <row r="262" spans="1:53" x14ac:dyDescent="0.45">
      <c r="A262">
        <v>10</v>
      </c>
      <c r="B262">
        <v>29517.4765625</v>
      </c>
      <c r="C262">
        <v>14527.3642578125</v>
      </c>
      <c r="D262">
        <v>21815.0390625</v>
      </c>
      <c r="E262">
        <v>28767.84375</v>
      </c>
      <c r="F262">
        <v>36645.14453125</v>
      </c>
      <c r="G262">
        <v>18673.681640625</v>
      </c>
      <c r="H262">
        <v>66645.546875</v>
      </c>
      <c r="I262">
        <v>62862.4375</v>
      </c>
      <c r="J262">
        <v>63573.51171875</v>
      </c>
      <c r="K262">
        <v>77605.3046875</v>
      </c>
      <c r="L262">
        <v>14408.501953125</v>
      </c>
      <c r="M262">
        <v>44874.48046875</v>
      </c>
      <c r="N262">
        <v>22665.53125</v>
      </c>
      <c r="O262">
        <v>23095.455078125</v>
      </c>
      <c r="U262" s="2">
        <v>0.20833333333333334</v>
      </c>
      <c r="V262">
        <v>29517.4765625</v>
      </c>
      <c r="W262">
        <v>14527.3642578125</v>
      </c>
      <c r="X262">
        <v>21815.0390625</v>
      </c>
      <c r="Y262">
        <v>28767.84375</v>
      </c>
      <c r="Z262">
        <v>36645.14453125</v>
      </c>
      <c r="AA262">
        <v>18673.681640625</v>
      </c>
      <c r="AB262">
        <v>66645.546875</v>
      </c>
      <c r="AC262">
        <v>62862.4375</v>
      </c>
      <c r="AD262">
        <v>63573.51171875</v>
      </c>
      <c r="AE262">
        <v>77605.3046875</v>
      </c>
      <c r="AF262">
        <v>14408.501953125</v>
      </c>
      <c r="AG262">
        <v>44874.48046875</v>
      </c>
      <c r="AH262">
        <v>22665.53125</v>
      </c>
      <c r="AI262">
        <v>23095.455078125</v>
      </c>
      <c r="AK262">
        <f t="shared" si="1"/>
        <v>525677.3193359375</v>
      </c>
      <c r="AM262" s="2">
        <v>0.1875</v>
      </c>
      <c r="AN262">
        <f t="shared" si="2"/>
        <v>36102.1630859375</v>
      </c>
      <c r="AO262">
        <f t="shared" si="0"/>
        <v>17143.746826171875</v>
      </c>
      <c r="AP262">
        <f t="shared" si="0"/>
        <v>23384.54052734375</v>
      </c>
      <c r="AQ262">
        <f t="shared" si="0"/>
        <v>36788.291015625</v>
      </c>
      <c r="AR262">
        <f t="shared" si="0"/>
        <v>42000.9541015625</v>
      </c>
      <c r="AS262">
        <f t="shared" si="0"/>
        <v>23050.002685546875</v>
      </c>
      <c r="AT262">
        <f t="shared" si="0"/>
        <v>76202.5048828125</v>
      </c>
      <c r="AU262">
        <f t="shared" si="0"/>
        <v>76771.0947265625</v>
      </c>
      <c r="AV262">
        <f t="shared" si="0"/>
        <v>76706.55078125</v>
      </c>
      <c r="AW262">
        <f t="shared" si="0"/>
        <v>97137.974609375</v>
      </c>
      <c r="AX262">
        <f t="shared" si="0"/>
        <v>15521.042236328125</v>
      </c>
      <c r="AY262">
        <f t="shared" si="0"/>
        <v>55649.37890625</v>
      </c>
      <c r="AZ262">
        <f t="shared" si="0"/>
        <v>28432.92919921875</v>
      </c>
      <c r="BA262">
        <f t="shared" si="0"/>
        <v>30143.74853515625</v>
      </c>
    </row>
    <row r="263" spans="1:53" x14ac:dyDescent="0.45">
      <c r="A263">
        <v>11</v>
      </c>
      <c r="B263">
        <v>35168.859375</v>
      </c>
      <c r="C263">
        <v>17236.58984375</v>
      </c>
      <c r="D263">
        <v>21684.677734375</v>
      </c>
      <c r="E263">
        <v>32054.1015625</v>
      </c>
      <c r="F263">
        <v>42526.9453125</v>
      </c>
      <c r="G263">
        <v>18593.6796875</v>
      </c>
      <c r="H263">
        <v>74917.484375</v>
      </c>
      <c r="I263">
        <v>61401.890625</v>
      </c>
      <c r="J263">
        <v>72989.78125</v>
      </c>
      <c r="K263">
        <v>82450.3203125</v>
      </c>
      <c r="L263">
        <v>15486.8408203125</v>
      </c>
      <c r="M263">
        <v>46276.87109375</v>
      </c>
      <c r="N263">
        <v>21759.302734375</v>
      </c>
      <c r="O263">
        <v>22387.1953125</v>
      </c>
      <c r="U263" s="2">
        <v>0.22916666666666666</v>
      </c>
      <c r="V263">
        <v>35168.859375</v>
      </c>
      <c r="W263">
        <v>17236.58984375</v>
      </c>
      <c r="X263">
        <v>21684.677734375</v>
      </c>
      <c r="Y263">
        <v>32054.1015625</v>
      </c>
      <c r="Z263">
        <v>42526.9453125</v>
      </c>
      <c r="AA263">
        <v>18593.6796875</v>
      </c>
      <c r="AB263">
        <v>74917.484375</v>
      </c>
      <c r="AC263">
        <v>61401.890625</v>
      </c>
      <c r="AD263">
        <v>72989.78125</v>
      </c>
      <c r="AE263">
        <v>82450.3203125</v>
      </c>
      <c r="AF263">
        <v>15486.8408203125</v>
      </c>
      <c r="AG263">
        <v>46276.87109375</v>
      </c>
      <c r="AH263">
        <v>21759.302734375</v>
      </c>
      <c r="AI263">
        <v>22387.1953125</v>
      </c>
      <c r="AK263">
        <f t="shared" si="1"/>
        <v>564934.5400390625</v>
      </c>
      <c r="AM263" s="2">
        <v>0.20833333333333334</v>
      </c>
      <c r="AN263">
        <f t="shared" si="2"/>
        <v>36678.708984375</v>
      </c>
      <c r="AO263">
        <f t="shared" si="0"/>
        <v>17322.869384765625</v>
      </c>
      <c r="AP263">
        <f t="shared" si="0"/>
        <v>20920.73095703125</v>
      </c>
      <c r="AQ263">
        <f t="shared" si="0"/>
        <v>36706.1572265625</v>
      </c>
      <c r="AR263">
        <f t="shared" si="0"/>
        <v>40496.45947265625</v>
      </c>
      <c r="AS263">
        <f t="shared" si="0"/>
        <v>21588.7431640625</v>
      </c>
      <c r="AT263">
        <f t="shared" si="0"/>
        <v>74908.638671875</v>
      </c>
      <c r="AU263">
        <f t="shared" si="0"/>
        <v>73368.689453125</v>
      </c>
      <c r="AV263">
        <f t="shared" si="0"/>
        <v>75523.9365234375</v>
      </c>
      <c r="AW263">
        <f t="shared" si="0"/>
        <v>96026.302734375</v>
      </c>
      <c r="AX263">
        <f t="shared" si="0"/>
        <v>15512.50390625</v>
      </c>
      <c r="AY263">
        <f t="shared" si="0"/>
        <v>51661.6953125</v>
      </c>
      <c r="AZ263">
        <f t="shared" si="0"/>
        <v>27058.10888671875</v>
      </c>
      <c r="BA263">
        <f t="shared" si="0"/>
        <v>29394.20263671875</v>
      </c>
    </row>
    <row r="264" spans="1:53" x14ac:dyDescent="0.45">
      <c r="A264">
        <v>12</v>
      </c>
      <c r="B264">
        <v>34082.75</v>
      </c>
      <c r="C264">
        <v>20626.2421875</v>
      </c>
      <c r="D264">
        <v>20463.59765625</v>
      </c>
      <c r="E264">
        <v>31095.6796875</v>
      </c>
      <c r="F264">
        <v>46519.01953125</v>
      </c>
      <c r="G264">
        <v>18761.705078125</v>
      </c>
      <c r="H264">
        <v>75375.5546875</v>
      </c>
      <c r="I264">
        <v>62320.25390625</v>
      </c>
      <c r="J264">
        <v>76246.625</v>
      </c>
      <c r="K264">
        <v>84628.59375</v>
      </c>
      <c r="L264">
        <v>15948.98046875</v>
      </c>
      <c r="M264">
        <v>48075.44921875</v>
      </c>
      <c r="N264">
        <v>23861.8359375</v>
      </c>
      <c r="O264">
        <v>24892.822265625</v>
      </c>
      <c r="U264" s="2">
        <v>0.25</v>
      </c>
      <c r="V264">
        <v>34082.75</v>
      </c>
      <c r="W264">
        <v>20626.2421875</v>
      </c>
      <c r="X264">
        <v>20463.59765625</v>
      </c>
      <c r="Y264">
        <v>31095.6796875</v>
      </c>
      <c r="Z264">
        <v>46519.01953125</v>
      </c>
      <c r="AA264">
        <v>18761.705078125</v>
      </c>
      <c r="AB264">
        <v>75375.5546875</v>
      </c>
      <c r="AC264">
        <v>62320.25390625</v>
      </c>
      <c r="AD264">
        <v>76246.625</v>
      </c>
      <c r="AE264">
        <v>84628.59375</v>
      </c>
      <c r="AF264">
        <v>15948.98046875</v>
      </c>
      <c r="AG264">
        <v>48075.44921875</v>
      </c>
      <c r="AH264">
        <v>23861.8359375</v>
      </c>
      <c r="AI264">
        <v>24892.822265625</v>
      </c>
      <c r="AK264">
        <f t="shared" si="1"/>
        <v>582899.109375</v>
      </c>
      <c r="AM264" s="2">
        <v>0.22916666666666666</v>
      </c>
      <c r="AN264">
        <f t="shared" si="2"/>
        <v>38021.2548828125</v>
      </c>
      <c r="AO264">
        <f t="shared" si="0"/>
        <v>18650.0546875</v>
      </c>
      <c r="AP264">
        <f t="shared" si="0"/>
        <v>20593.04931640625</v>
      </c>
      <c r="AQ264">
        <f t="shared" si="0"/>
        <v>36200.4521484375</v>
      </c>
      <c r="AR264">
        <f t="shared" si="0"/>
        <v>44063.18359375</v>
      </c>
      <c r="AS264">
        <f t="shared" si="0"/>
        <v>21496.694091796875</v>
      </c>
      <c r="AT264">
        <f t="shared" si="0"/>
        <v>76955.39453125</v>
      </c>
      <c r="AU264">
        <f t="shared" si="0"/>
        <v>71600.048828125</v>
      </c>
      <c r="AV264">
        <f t="shared" si="0"/>
        <v>78872.9814453125</v>
      </c>
      <c r="AW264">
        <f t="shared" si="0"/>
        <v>96541.34765625</v>
      </c>
      <c r="AX264">
        <f t="shared" si="0"/>
        <v>16098.365234375</v>
      </c>
      <c r="AY264">
        <f t="shared" si="0"/>
        <v>51992.0986328125</v>
      </c>
      <c r="AZ264">
        <f t="shared" si="0"/>
        <v>27123.03662109375</v>
      </c>
      <c r="BA264">
        <f t="shared" si="0"/>
        <v>29605.5908203125</v>
      </c>
    </row>
    <row r="265" spans="1:53" x14ac:dyDescent="0.45">
      <c r="A265">
        <v>13</v>
      </c>
      <c r="B265">
        <v>32006.005859375</v>
      </c>
      <c r="C265">
        <v>20589.248046875</v>
      </c>
      <c r="D265">
        <v>20520.822265625</v>
      </c>
      <c r="E265">
        <v>29103.55078125</v>
      </c>
      <c r="F265">
        <v>44899.31640625</v>
      </c>
      <c r="G265">
        <v>19261.7265625</v>
      </c>
      <c r="H265">
        <v>73387.453125</v>
      </c>
      <c r="I265">
        <v>63343.8046875</v>
      </c>
      <c r="J265">
        <v>73222.9765625</v>
      </c>
      <c r="K265">
        <v>84762.3984375</v>
      </c>
      <c r="L265">
        <v>15652.42578125</v>
      </c>
      <c r="M265">
        <v>48461.234375</v>
      </c>
      <c r="N265">
        <v>27092.37109375</v>
      </c>
      <c r="O265">
        <v>28031.369140625</v>
      </c>
      <c r="U265" s="2">
        <v>0.27083333333333331</v>
      </c>
      <c r="V265">
        <v>32006.005859375</v>
      </c>
      <c r="W265">
        <v>20589.248046875</v>
      </c>
      <c r="X265">
        <v>20520.822265625</v>
      </c>
      <c r="Y265">
        <v>29103.55078125</v>
      </c>
      <c r="Z265">
        <v>44899.31640625</v>
      </c>
      <c r="AA265">
        <v>19261.7265625</v>
      </c>
      <c r="AB265">
        <v>73387.453125</v>
      </c>
      <c r="AC265">
        <v>63343.8046875</v>
      </c>
      <c r="AD265">
        <v>73222.9765625</v>
      </c>
      <c r="AE265">
        <v>84762.3984375</v>
      </c>
      <c r="AF265">
        <v>15652.42578125</v>
      </c>
      <c r="AG265">
        <v>48461.234375</v>
      </c>
      <c r="AH265">
        <v>27092.37109375</v>
      </c>
      <c r="AI265">
        <v>28031.369140625</v>
      </c>
      <c r="AK265">
        <f t="shared" si="1"/>
        <v>580334.703125</v>
      </c>
      <c r="AM265" s="2">
        <v>0.25</v>
      </c>
      <c r="AN265">
        <f t="shared" si="2"/>
        <v>39205.3740234375</v>
      </c>
      <c r="AO265">
        <f t="shared" si="0"/>
        <v>19070.90625</v>
      </c>
      <c r="AP265">
        <f t="shared" si="0"/>
        <v>20388.89794921875</v>
      </c>
      <c r="AQ265">
        <f t="shared" si="0"/>
        <v>35555.5302734375</v>
      </c>
      <c r="AR265">
        <f t="shared" si="0"/>
        <v>46347.3330078125</v>
      </c>
      <c r="AS265">
        <f t="shared" si="0"/>
        <v>19862.828125</v>
      </c>
      <c r="AT265">
        <f t="shared" si="0"/>
        <v>77775.9267578125</v>
      </c>
      <c r="AU265">
        <f t="shared" si="0"/>
        <v>67809.201171875</v>
      </c>
      <c r="AV265">
        <f t="shared" si="0"/>
        <v>80462.126953125</v>
      </c>
      <c r="AW265">
        <f t="shared" si="0"/>
        <v>94459.580078125</v>
      </c>
      <c r="AX265">
        <f t="shared" si="0"/>
        <v>16272.090576171875</v>
      </c>
      <c r="AY265">
        <f t="shared" si="0"/>
        <v>49653.1630859375</v>
      </c>
      <c r="AZ265">
        <f t="shared" si="0"/>
        <v>26987.5986328125</v>
      </c>
      <c r="BA265">
        <f t="shared" si="0"/>
        <v>28517.20751953125</v>
      </c>
    </row>
    <row r="266" spans="1:53" x14ac:dyDescent="0.45">
      <c r="A266">
        <v>14</v>
      </c>
      <c r="B266">
        <v>33994.6796875</v>
      </c>
      <c r="C266">
        <v>20078.162109375</v>
      </c>
      <c r="D266">
        <v>20319.994140625</v>
      </c>
      <c r="E266">
        <v>28255.119140625</v>
      </c>
      <c r="F266">
        <v>43636.078125</v>
      </c>
      <c r="G266">
        <v>20816.01171875</v>
      </c>
      <c r="H266">
        <v>71120.015625</v>
      </c>
      <c r="I266">
        <v>66965.28125</v>
      </c>
      <c r="J266">
        <v>71743.8515625</v>
      </c>
      <c r="K266">
        <v>87686.8984375</v>
      </c>
      <c r="L266">
        <v>15143.0693359375</v>
      </c>
      <c r="M266">
        <v>51626.83203125</v>
      </c>
      <c r="N266">
        <v>29788.326171875</v>
      </c>
      <c r="O266">
        <v>30459.998046875</v>
      </c>
      <c r="U266" s="2">
        <v>0.29166666666666669</v>
      </c>
      <c r="V266">
        <v>33994.6796875</v>
      </c>
      <c r="W266">
        <v>20078.162109375</v>
      </c>
      <c r="X266">
        <v>20319.994140625</v>
      </c>
      <c r="Y266">
        <v>28255.119140625</v>
      </c>
      <c r="Z266">
        <v>43636.078125</v>
      </c>
      <c r="AA266">
        <v>20816.01171875</v>
      </c>
      <c r="AB266">
        <v>71120.015625</v>
      </c>
      <c r="AC266">
        <v>66965.28125</v>
      </c>
      <c r="AD266">
        <v>71743.8515625</v>
      </c>
      <c r="AE266">
        <v>87686.8984375</v>
      </c>
      <c r="AF266">
        <v>15143.0693359375</v>
      </c>
      <c r="AG266">
        <v>51626.83203125</v>
      </c>
      <c r="AH266">
        <v>29788.326171875</v>
      </c>
      <c r="AI266">
        <v>30459.998046875</v>
      </c>
      <c r="AK266">
        <f t="shared" si="1"/>
        <v>591634.3173828125</v>
      </c>
      <c r="AM266" s="2">
        <v>0.27083333333333331</v>
      </c>
      <c r="AN266">
        <f t="shared" si="2"/>
        <v>37719.12890625</v>
      </c>
      <c r="AO266">
        <f t="shared" si="0"/>
        <v>19801.27392578125</v>
      </c>
      <c r="AP266">
        <f t="shared" si="0"/>
        <v>20438.16455078125</v>
      </c>
      <c r="AQ266">
        <f t="shared" si="0"/>
        <v>32904.83837890625</v>
      </c>
      <c r="AR266">
        <f t="shared" si="0"/>
        <v>47824.5595703125</v>
      </c>
      <c r="AS266">
        <f t="shared" si="0"/>
        <v>19690.92138671875</v>
      </c>
      <c r="AT266">
        <f t="shared" si="0"/>
        <v>77956.740234375</v>
      </c>
      <c r="AU266">
        <f t="shared" si="0"/>
        <v>68504.099609375</v>
      </c>
      <c r="AV266">
        <f t="shared" si="0"/>
        <v>79553.82421875</v>
      </c>
      <c r="AW266">
        <f t="shared" si="0"/>
        <v>96667.173828125</v>
      </c>
      <c r="AX266">
        <f t="shared" si="0"/>
        <v>15230.63671875</v>
      </c>
      <c r="AY266">
        <f t="shared" si="0"/>
        <v>51172.55078125</v>
      </c>
      <c r="AZ266">
        <f t="shared" si="0"/>
        <v>29720.0302734375</v>
      </c>
      <c r="BA266">
        <f t="shared" si="0"/>
        <v>31415.32763671875</v>
      </c>
    </row>
    <row r="267" spans="1:53" x14ac:dyDescent="0.45">
      <c r="A267">
        <v>15</v>
      </c>
      <c r="B267">
        <v>28068.2421875</v>
      </c>
      <c r="C267">
        <v>18130.943359375</v>
      </c>
      <c r="D267">
        <v>21460.099609375</v>
      </c>
      <c r="E267">
        <v>25837.958984375</v>
      </c>
      <c r="F267">
        <v>38920.703125</v>
      </c>
      <c r="G267">
        <v>18835.76953125</v>
      </c>
      <c r="H267">
        <v>66114.34375</v>
      </c>
      <c r="I267">
        <v>66529.7578125</v>
      </c>
      <c r="J267">
        <v>60801.83203125</v>
      </c>
      <c r="K267">
        <v>78561.71875</v>
      </c>
      <c r="L267">
        <v>14466.53515625</v>
      </c>
      <c r="M267">
        <v>48761.73046875</v>
      </c>
      <c r="N267">
        <v>34473.48046875</v>
      </c>
      <c r="O267">
        <v>25796.322265625</v>
      </c>
      <c r="U267" s="2">
        <v>0.3125</v>
      </c>
      <c r="V267">
        <v>28068.2421875</v>
      </c>
      <c r="W267">
        <v>18130.943359375</v>
      </c>
      <c r="X267">
        <v>21460.099609375</v>
      </c>
      <c r="Y267">
        <v>25837.958984375</v>
      </c>
      <c r="Z267">
        <v>38920.703125</v>
      </c>
      <c r="AA267">
        <v>18835.76953125</v>
      </c>
      <c r="AB267">
        <v>66114.34375</v>
      </c>
      <c r="AC267">
        <v>66529.7578125</v>
      </c>
      <c r="AD267">
        <v>60801.83203125</v>
      </c>
      <c r="AE267">
        <v>78561.71875</v>
      </c>
      <c r="AF267">
        <v>14466.53515625</v>
      </c>
      <c r="AG267">
        <v>48761.73046875</v>
      </c>
      <c r="AH267">
        <v>34473.48046875</v>
      </c>
      <c r="AI267">
        <v>25796.322265625</v>
      </c>
      <c r="AK267">
        <f t="shared" si="1"/>
        <v>546759.4375</v>
      </c>
      <c r="AM267" s="2">
        <v>0.29166666666666669</v>
      </c>
      <c r="AN267">
        <f t="shared" si="2"/>
        <v>38262.08154296875</v>
      </c>
      <c r="AO267">
        <f t="shared" si="0"/>
        <v>20098.94091796875</v>
      </c>
      <c r="AP267">
        <f t="shared" si="0"/>
        <v>21959.81884765625</v>
      </c>
      <c r="AQ267">
        <f t="shared" si="0"/>
        <v>31259.78369140625</v>
      </c>
      <c r="AR267">
        <f t="shared" si="0"/>
        <v>49678.6298828125</v>
      </c>
      <c r="AS267">
        <f t="shared" si="0"/>
        <v>20685.12158203125</v>
      </c>
      <c r="AT267">
        <f t="shared" si="0"/>
        <v>78956.166015625</v>
      </c>
      <c r="AU267">
        <f t="shared" si="0"/>
        <v>70262.4365234375</v>
      </c>
      <c r="AV267">
        <f t="shared" si="0"/>
        <v>80155.1875</v>
      </c>
      <c r="AW267">
        <f t="shared" si="0"/>
        <v>96946.265625</v>
      </c>
      <c r="AX267">
        <f t="shared" si="0"/>
        <v>15790.125732421875</v>
      </c>
      <c r="AY267">
        <f t="shared" si="0"/>
        <v>51980.25390625</v>
      </c>
      <c r="AZ267">
        <f t="shared" si="0"/>
        <v>32194.40869140625</v>
      </c>
      <c r="BA267">
        <f t="shared" si="0"/>
        <v>32411.44873046875</v>
      </c>
    </row>
    <row r="268" spans="1:53" x14ac:dyDescent="0.45">
      <c r="A268">
        <v>16</v>
      </c>
      <c r="B268">
        <v>23867.591796875</v>
      </c>
      <c r="C268">
        <v>13104.861328125</v>
      </c>
      <c r="D268">
        <v>16785.607421875</v>
      </c>
      <c r="E268">
        <v>19650.220703125</v>
      </c>
      <c r="F268">
        <v>29818.7734375</v>
      </c>
      <c r="G268">
        <v>12436.447265625</v>
      </c>
      <c r="H268">
        <v>50059.671875</v>
      </c>
      <c r="I268">
        <v>44387.85546875</v>
      </c>
      <c r="J268">
        <v>49600.03515625</v>
      </c>
      <c r="K268">
        <v>56401.09765625</v>
      </c>
      <c r="L268">
        <v>9684.8896484375</v>
      </c>
      <c r="M268">
        <v>35525.46484375</v>
      </c>
      <c r="N268">
        <v>31459.65625</v>
      </c>
      <c r="O268">
        <v>20266.53515625</v>
      </c>
      <c r="U268" s="2">
        <v>0.33333333333333331</v>
      </c>
      <c r="V268">
        <v>23867.591796875</v>
      </c>
      <c r="W268">
        <v>13104.861328125</v>
      </c>
      <c r="X268">
        <v>16785.607421875</v>
      </c>
      <c r="Y268">
        <v>19650.220703125</v>
      </c>
      <c r="Z268">
        <v>29818.7734375</v>
      </c>
      <c r="AA268">
        <v>12436.447265625</v>
      </c>
      <c r="AB268">
        <v>50059.671875</v>
      </c>
      <c r="AC268">
        <v>44387.85546875</v>
      </c>
      <c r="AD268">
        <v>49600.03515625</v>
      </c>
      <c r="AE268">
        <v>56401.09765625</v>
      </c>
      <c r="AF268">
        <v>9684.8896484375</v>
      </c>
      <c r="AG268">
        <v>35525.46484375</v>
      </c>
      <c r="AH268">
        <v>31459.65625</v>
      </c>
      <c r="AI268">
        <v>20266.53515625</v>
      </c>
      <c r="AK268">
        <f t="shared" si="1"/>
        <v>413048.7080078125</v>
      </c>
      <c r="AM268" s="2">
        <v>0.3125</v>
      </c>
      <c r="AN268">
        <f t="shared" si="2"/>
        <v>33364.0625</v>
      </c>
      <c r="AO268">
        <f t="shared" si="0"/>
        <v>18363.176513671875</v>
      </c>
      <c r="AP268">
        <f t="shared" si="0"/>
        <v>19938.17138671875</v>
      </c>
      <c r="AQ268">
        <f t="shared" si="0"/>
        <v>28355.17236328125</v>
      </c>
      <c r="AR268">
        <f t="shared" si="0"/>
        <v>43086.87890625</v>
      </c>
      <c r="AS268">
        <f t="shared" si="0"/>
        <v>20745.03857421875</v>
      </c>
      <c r="AT268">
        <f t="shared" si="0"/>
        <v>69810.6259765625</v>
      </c>
      <c r="AU268">
        <f t="shared" si="0"/>
        <v>66923.9462890625</v>
      </c>
      <c r="AV268">
        <f t="shared" si="0"/>
        <v>70017.2763671875</v>
      </c>
      <c r="AW268">
        <f t="shared" si="0"/>
        <v>88284.626953125</v>
      </c>
      <c r="AX268">
        <f t="shared" si="0"/>
        <v>14400.1328125</v>
      </c>
      <c r="AY268">
        <f t="shared" si="0"/>
        <v>49727.53125</v>
      </c>
      <c r="AZ268">
        <f t="shared" si="0"/>
        <v>34718.4521484375</v>
      </c>
      <c r="BA268">
        <f t="shared" si="0"/>
        <v>29782.60400390625</v>
      </c>
    </row>
    <row r="269" spans="1:53" x14ac:dyDescent="0.45">
      <c r="A269">
        <v>17</v>
      </c>
      <c r="B269">
        <v>18449.74609375</v>
      </c>
      <c r="C269">
        <v>9822.8447265625</v>
      </c>
      <c r="D269">
        <v>12395.7890625</v>
      </c>
      <c r="E269">
        <v>16689.326171875</v>
      </c>
      <c r="F269">
        <v>22927.75390625</v>
      </c>
      <c r="G269">
        <v>9493.87109375</v>
      </c>
      <c r="H269">
        <v>39035.11328125</v>
      </c>
      <c r="I269">
        <v>33029.78515625</v>
      </c>
      <c r="J269">
        <v>40917.9453125</v>
      </c>
      <c r="K269">
        <v>43518.57421875</v>
      </c>
      <c r="L269">
        <v>8368.7685546875</v>
      </c>
      <c r="M269">
        <v>28207.09765625</v>
      </c>
      <c r="N269">
        <v>33150.0625</v>
      </c>
      <c r="O269">
        <v>15474.9921875</v>
      </c>
      <c r="U269" s="2">
        <v>0.35416666666666669</v>
      </c>
      <c r="V269">
        <v>18449.74609375</v>
      </c>
      <c r="W269">
        <v>9822.8447265625</v>
      </c>
      <c r="X269">
        <v>12395.7890625</v>
      </c>
      <c r="Y269">
        <v>16689.326171875</v>
      </c>
      <c r="Z269">
        <v>22927.75390625</v>
      </c>
      <c r="AA269">
        <v>9493.87109375</v>
      </c>
      <c r="AB269">
        <v>39035.11328125</v>
      </c>
      <c r="AC269">
        <v>33029.78515625</v>
      </c>
      <c r="AD269">
        <v>40917.9453125</v>
      </c>
      <c r="AE269">
        <v>43518.57421875</v>
      </c>
      <c r="AF269">
        <v>8368.7685546875</v>
      </c>
      <c r="AG269">
        <v>28207.09765625</v>
      </c>
      <c r="AH269">
        <v>33150.0625</v>
      </c>
      <c r="AI269">
        <v>15474.9921875</v>
      </c>
      <c r="AK269">
        <f t="shared" si="1"/>
        <v>331481.669921875</v>
      </c>
      <c r="AM269" s="2">
        <v>0.33333333333333331</v>
      </c>
      <c r="AN269">
        <f t="shared" si="2"/>
        <v>26320.0986328125</v>
      </c>
      <c r="AO269">
        <f t="shared" ref="AO269:AO300" si="6">(SUMIF($U269:$U508,"="&amp;$AM269,W269:W508))/(COUNTIF($U269:$U508,"="&amp;$AM269))</f>
        <v>16700.57763671875</v>
      </c>
      <c r="AP269">
        <f t="shared" ref="AP269:AP300" si="7">(SUMIF($U269:$U508,"="&amp;$AM269,X269:X508))/(COUNTIF($U269:$U508,"="&amp;$AM269))</f>
        <v>16439.884765625</v>
      </c>
      <c r="AQ269">
        <f t="shared" ref="AQ269:AQ300" si="8">(SUMIF($U269:$U508,"="&amp;$AM269,Y269:Y508))/(COUNTIF($U269:$U508,"="&amp;$AM269))</f>
        <v>21041.1435546875</v>
      </c>
      <c r="AR269">
        <f t="shared" ref="AR269:AR300" si="9">(SUMIF($U269:$U508,"="&amp;$AM269,Z269:Z508))/(COUNTIF($U269:$U508,"="&amp;$AM269))</f>
        <v>33629.96142578125</v>
      </c>
      <c r="AS269">
        <f t="shared" ref="AS269:AS300" si="10">(SUMIF($U269:$U508,"="&amp;$AM269,AA269:AA508))/(COUNTIF($U269:$U508,"="&amp;$AM269))</f>
        <v>20066.96240234375</v>
      </c>
      <c r="AT269">
        <f t="shared" ref="AT269:AT300" si="11">(SUMIF($U269:$U508,"="&amp;$AM269,AB269:AB508))/(COUNTIF($U269:$U508,"="&amp;$AM269))</f>
        <v>56789.1650390625</v>
      </c>
      <c r="AU269">
        <f t="shared" ref="AU269:AU300" si="12">(SUMIF($U269:$U508,"="&amp;$AM269,AC269:AC508))/(COUNTIF($U269:$U508,"="&amp;$AM269))</f>
        <v>54228.8544921875</v>
      </c>
      <c r="AV269">
        <f t="shared" ref="AV269:AV300" si="13">(SUMIF($U269:$U508,"="&amp;$AM269,AD269:AD508))/(COUNTIF($U269:$U508,"="&amp;$AM269))</f>
        <v>55689.74609375</v>
      </c>
      <c r="AW269">
        <f t="shared" ref="AW269:AW300" si="14">(SUMIF($U269:$U508,"="&amp;$AM269,AE269:AE508))/(COUNTIF($U269:$U508,"="&amp;$AM269))</f>
        <v>69396.7041015625</v>
      </c>
      <c r="AX269">
        <f t="shared" ref="AX269:AX300" si="15">(SUMIF($U269:$U508,"="&amp;$AM269,AF269:AF508))/(COUNTIF($U269:$U508,"="&amp;$AM269))</f>
        <v>13043.0634765625</v>
      </c>
      <c r="AY269">
        <f t="shared" ref="AY269:AY300" si="16">(SUMIF($U269:$U508,"="&amp;$AM269,AG269:AG508))/(COUNTIF($U269:$U508,"="&amp;$AM269))</f>
        <v>43371.8271484375</v>
      </c>
      <c r="AZ269">
        <f t="shared" ref="AZ269:AZ300" si="17">(SUMIF($U269:$U508,"="&amp;$AM269,AH269:AH508))/(COUNTIF($U269:$U508,"="&amp;$AM269))</f>
        <v>34472.48876953125</v>
      </c>
      <c r="BA269">
        <f t="shared" ref="BA269:BA300" si="18">(SUMIF($U269:$U508,"="&amp;$AM269,AI269:AI508))/(COUNTIF($U269:$U508,"="&amp;$AM269))</f>
        <v>24119.6328125</v>
      </c>
    </row>
    <row r="270" spans="1:53" x14ac:dyDescent="0.45">
      <c r="A270">
        <v>18</v>
      </c>
      <c r="B270">
        <v>19219.44921875</v>
      </c>
      <c r="C270">
        <v>10162.3720703125</v>
      </c>
      <c r="D270">
        <v>5749.57763671875</v>
      </c>
      <c r="E270">
        <v>13550.232421875</v>
      </c>
      <c r="F270">
        <v>20879.34765625</v>
      </c>
      <c r="G270">
        <v>6389.26123046875</v>
      </c>
      <c r="H270">
        <v>33055.7109375</v>
      </c>
      <c r="I270">
        <v>14437.1513671875</v>
      </c>
      <c r="J270">
        <v>38835.4453125</v>
      </c>
      <c r="K270">
        <v>27863.5</v>
      </c>
      <c r="L270">
        <v>9975.1220703125</v>
      </c>
      <c r="M270">
        <v>15096.8701171875</v>
      </c>
      <c r="N270">
        <v>33300.1015625</v>
      </c>
      <c r="O270">
        <v>7178.31591796875</v>
      </c>
      <c r="U270" s="2">
        <v>0.375</v>
      </c>
      <c r="V270">
        <v>19219.44921875</v>
      </c>
      <c r="W270">
        <v>10162.3720703125</v>
      </c>
      <c r="X270">
        <v>5749.57763671875</v>
      </c>
      <c r="Y270">
        <v>13550.232421875</v>
      </c>
      <c r="Z270">
        <v>20879.34765625</v>
      </c>
      <c r="AA270">
        <v>6389.26123046875</v>
      </c>
      <c r="AB270">
        <v>33055.7109375</v>
      </c>
      <c r="AC270">
        <v>14437.1513671875</v>
      </c>
      <c r="AD270">
        <v>38835.4453125</v>
      </c>
      <c r="AE270">
        <v>27863.5</v>
      </c>
      <c r="AF270">
        <v>9975.1220703125</v>
      </c>
      <c r="AG270">
        <v>15096.8701171875</v>
      </c>
      <c r="AH270">
        <v>33300.1015625</v>
      </c>
      <c r="AI270">
        <v>7178.31591796875</v>
      </c>
      <c r="AK270">
        <f t="shared" si="1"/>
        <v>255692.45751953125</v>
      </c>
      <c r="AM270" s="2">
        <v>0.35416666666666669</v>
      </c>
      <c r="AN270">
        <f t="shared" si="2"/>
        <v>23154.39208984375</v>
      </c>
      <c r="AO270">
        <f t="shared" si="6"/>
        <v>13002.890625</v>
      </c>
      <c r="AP270">
        <f t="shared" si="7"/>
        <v>11760.699340820313</v>
      </c>
      <c r="AQ270">
        <f t="shared" si="8"/>
        <v>16181.555908203125</v>
      </c>
      <c r="AR270">
        <f t="shared" si="9"/>
        <v>26389.421142578125</v>
      </c>
      <c r="AS270">
        <f t="shared" si="10"/>
        <v>15704.98974609375</v>
      </c>
      <c r="AT270">
        <f t="shared" si="11"/>
        <v>47133.5107421875</v>
      </c>
      <c r="AU270">
        <f t="shared" si="12"/>
        <v>39367.0537109375</v>
      </c>
      <c r="AV270">
        <f t="shared" si="13"/>
        <v>46410.84912109375</v>
      </c>
      <c r="AW270">
        <f t="shared" si="14"/>
        <v>55026.7763671875</v>
      </c>
      <c r="AX270">
        <f t="shared" si="15"/>
        <v>11354.134033203125</v>
      </c>
      <c r="AY270">
        <f t="shared" si="16"/>
        <v>33361.53515625</v>
      </c>
      <c r="AZ270">
        <f t="shared" si="17"/>
        <v>34750.654296875</v>
      </c>
      <c r="BA270">
        <f t="shared" si="18"/>
        <v>20073.17041015625</v>
      </c>
    </row>
    <row r="271" spans="1:53" x14ac:dyDescent="0.45">
      <c r="A271">
        <v>19</v>
      </c>
      <c r="B271">
        <v>5219.1953125</v>
      </c>
      <c r="C271">
        <v>1091.21801757812</v>
      </c>
      <c r="D271">
        <v>-608.558837890625</v>
      </c>
      <c r="E271">
        <v>-1088.34326171875</v>
      </c>
      <c r="F271">
        <v>6366.240234375</v>
      </c>
      <c r="G271">
        <v>256.05084228515602</v>
      </c>
      <c r="H271">
        <v>6769.576171875</v>
      </c>
      <c r="I271">
        <v>-6958.48681640625</v>
      </c>
      <c r="J271">
        <v>10242.4892578125</v>
      </c>
      <c r="K271">
        <v>946.18640136718705</v>
      </c>
      <c r="L271">
        <v>2177.98754882812</v>
      </c>
      <c r="M271">
        <v>1516.4892578125</v>
      </c>
      <c r="N271">
        <v>33718.1875</v>
      </c>
      <c r="O271">
        <v>1466.47314453125</v>
      </c>
      <c r="U271" s="2">
        <v>0.39583333333333331</v>
      </c>
      <c r="V271">
        <v>5219.1953125</v>
      </c>
      <c r="W271">
        <v>1091.21801757812</v>
      </c>
      <c r="X271">
        <v>-608.558837890625</v>
      </c>
      <c r="Y271">
        <v>-1088.34326171875</v>
      </c>
      <c r="Z271">
        <v>6366.240234375</v>
      </c>
      <c r="AA271">
        <v>256.05084228515602</v>
      </c>
      <c r="AB271">
        <v>6769.576171875</v>
      </c>
      <c r="AC271">
        <v>-6958.48681640625</v>
      </c>
      <c r="AD271">
        <v>10242.4892578125</v>
      </c>
      <c r="AE271">
        <v>946.18640136718705</v>
      </c>
      <c r="AF271">
        <v>2177.98754882812</v>
      </c>
      <c r="AG271">
        <v>1516.4892578125</v>
      </c>
      <c r="AH271">
        <v>33718.1875</v>
      </c>
      <c r="AI271">
        <v>1466.47314453125</v>
      </c>
      <c r="AK271">
        <f t="shared" si="1"/>
        <v>61114.704772949204</v>
      </c>
      <c r="AM271" s="2">
        <v>0.375</v>
      </c>
      <c r="AN271">
        <f t="shared" si="2"/>
        <v>18533.807861328125</v>
      </c>
      <c r="AO271">
        <f t="shared" si="6"/>
        <v>9639.3876342773419</v>
      </c>
      <c r="AP271">
        <f t="shared" si="7"/>
        <v>7117.4557952880859</v>
      </c>
      <c r="AQ271">
        <f t="shared" si="8"/>
        <v>9239.8272094726563</v>
      </c>
      <c r="AR271">
        <f t="shared" si="9"/>
        <v>22426.137939453125</v>
      </c>
      <c r="AS271">
        <f t="shared" si="10"/>
        <v>12991.555541992188</v>
      </c>
      <c r="AT271">
        <f t="shared" si="11"/>
        <v>35643.904052734375</v>
      </c>
      <c r="AU271">
        <f t="shared" si="12"/>
        <v>25028.632110595703</v>
      </c>
      <c r="AV271">
        <f t="shared" si="13"/>
        <v>37067.420166015625</v>
      </c>
      <c r="AW271">
        <f t="shared" si="14"/>
        <v>39241.23095703125</v>
      </c>
      <c r="AX271">
        <f t="shared" si="15"/>
        <v>8903.7830810546875</v>
      </c>
      <c r="AY271">
        <f t="shared" si="16"/>
        <v>24970.712280273438</v>
      </c>
      <c r="AZ271">
        <f t="shared" si="17"/>
        <v>36245.3232421875</v>
      </c>
      <c r="BA271">
        <f t="shared" si="18"/>
        <v>14162.578979492188</v>
      </c>
    </row>
    <row r="272" spans="1:53" x14ac:dyDescent="0.45">
      <c r="A272">
        <v>20</v>
      </c>
      <c r="B272">
        <v>-962.25604248046795</v>
      </c>
      <c r="C272">
        <v>-5909.724609375</v>
      </c>
      <c r="D272">
        <v>-8010.09375</v>
      </c>
      <c r="E272">
        <v>-12373.9345703125</v>
      </c>
      <c r="F272">
        <v>-6106.134765625</v>
      </c>
      <c r="G272">
        <v>-5939.1787109375</v>
      </c>
      <c r="H272">
        <v>-11262.6240234375</v>
      </c>
      <c r="I272">
        <v>-28148.044921875</v>
      </c>
      <c r="J272">
        <v>-9406.287109375</v>
      </c>
      <c r="K272">
        <v>-20614.08984375</v>
      </c>
      <c r="L272">
        <v>-4591.4375</v>
      </c>
      <c r="M272">
        <v>-12297.97265625</v>
      </c>
      <c r="N272">
        <v>29785.494140625</v>
      </c>
      <c r="O272">
        <v>-5015.6201171875</v>
      </c>
      <c r="U272" s="2">
        <v>0.41666666666666669</v>
      </c>
      <c r="V272">
        <v>-962.25604248046795</v>
      </c>
      <c r="W272">
        <v>-5909.724609375</v>
      </c>
      <c r="X272">
        <v>-8010.09375</v>
      </c>
      <c r="Y272">
        <v>-12373.9345703125</v>
      </c>
      <c r="Z272">
        <v>-6106.134765625</v>
      </c>
      <c r="AA272">
        <v>-5939.1787109375</v>
      </c>
      <c r="AB272">
        <v>-11262.6240234375</v>
      </c>
      <c r="AC272">
        <v>-28148.044921875</v>
      </c>
      <c r="AD272">
        <v>-9406.287109375</v>
      </c>
      <c r="AE272">
        <v>-20614.08984375</v>
      </c>
      <c r="AF272">
        <v>-4591.4375</v>
      </c>
      <c r="AG272">
        <v>-12297.97265625</v>
      </c>
      <c r="AH272">
        <v>29785.494140625</v>
      </c>
      <c r="AI272">
        <v>-5015.6201171875</v>
      </c>
      <c r="AK272">
        <f t="shared" si="1"/>
        <v>-100851.90447998047</v>
      </c>
      <c r="AM272" s="2">
        <v>0.39583333333333331</v>
      </c>
      <c r="AN272">
        <f t="shared" si="2"/>
        <v>14927.019287109375</v>
      </c>
      <c r="AO272">
        <f t="shared" si="6"/>
        <v>5522.7498779296875</v>
      </c>
      <c r="AP272">
        <f t="shared" si="7"/>
        <v>2664.1579895019527</v>
      </c>
      <c r="AQ272">
        <f t="shared" si="8"/>
        <v>5540.0035400390625</v>
      </c>
      <c r="AR272">
        <f t="shared" si="9"/>
        <v>15261.847106933594</v>
      </c>
      <c r="AS272">
        <f t="shared" si="10"/>
        <v>7667.5124816894549</v>
      </c>
      <c r="AT272">
        <f t="shared" si="11"/>
        <v>24649.243957519531</v>
      </c>
      <c r="AU272">
        <f t="shared" si="12"/>
        <v>8573.5603179931641</v>
      </c>
      <c r="AV272">
        <f t="shared" si="13"/>
        <v>26783.529541015625</v>
      </c>
      <c r="AW272">
        <f t="shared" si="14"/>
        <v>22840.002197265625</v>
      </c>
      <c r="AX272">
        <f t="shared" si="15"/>
        <v>5090.0900268554697</v>
      </c>
      <c r="AY272">
        <f t="shared" si="16"/>
        <v>15251.181762695313</v>
      </c>
      <c r="AZ272">
        <f t="shared" si="17"/>
        <v>33145.56396484375</v>
      </c>
      <c r="BA272">
        <f t="shared" si="18"/>
        <v>6357.7846069335919</v>
      </c>
    </row>
    <row r="273" spans="1:53" x14ac:dyDescent="0.45">
      <c r="A273">
        <v>21</v>
      </c>
      <c r="B273">
        <v>-13497.1962890625</v>
      </c>
      <c r="C273">
        <v>-6593.23388671875</v>
      </c>
      <c r="D273">
        <v>-14325.283203125</v>
      </c>
      <c r="E273">
        <v>-19628.244140625</v>
      </c>
      <c r="F273">
        <v>-15185.3369140625</v>
      </c>
      <c r="G273">
        <v>-4788.94189453125</v>
      </c>
      <c r="H273">
        <v>-28876.703125</v>
      </c>
      <c r="I273">
        <v>-37581.41015625</v>
      </c>
      <c r="J273">
        <v>-24830.0078125</v>
      </c>
      <c r="K273">
        <v>-36153.11328125</v>
      </c>
      <c r="L273">
        <v>-5907.84912109375</v>
      </c>
      <c r="M273">
        <v>-20306.552734375</v>
      </c>
      <c r="N273">
        <v>32511.869140625</v>
      </c>
      <c r="O273">
        <v>-11497.7109375</v>
      </c>
      <c r="U273" s="2">
        <v>0.4375</v>
      </c>
      <c r="V273">
        <v>-13497.1962890625</v>
      </c>
      <c r="W273">
        <v>-6593.23388671875</v>
      </c>
      <c r="X273">
        <v>-14325.283203125</v>
      </c>
      <c r="Y273">
        <v>-19628.244140625</v>
      </c>
      <c r="Z273">
        <v>-15185.3369140625</v>
      </c>
      <c r="AA273">
        <v>-4788.94189453125</v>
      </c>
      <c r="AB273">
        <v>-28876.703125</v>
      </c>
      <c r="AC273">
        <v>-37581.41015625</v>
      </c>
      <c r="AD273">
        <v>-24830.0078125</v>
      </c>
      <c r="AE273">
        <v>-36153.11328125</v>
      </c>
      <c r="AF273">
        <v>-5907.84912109375</v>
      </c>
      <c r="AG273">
        <v>-20306.552734375</v>
      </c>
      <c r="AH273">
        <v>32511.869140625</v>
      </c>
      <c r="AI273">
        <v>-11497.7109375</v>
      </c>
      <c r="AK273">
        <f t="shared" si="1"/>
        <v>-206659.71435546875</v>
      </c>
      <c r="AM273" s="2">
        <v>0.41666666666666669</v>
      </c>
      <c r="AN273">
        <f t="shared" si="2"/>
        <v>6234.8275527954102</v>
      </c>
      <c r="AO273">
        <f t="shared" si="6"/>
        <v>2229.8340454101581</v>
      </c>
      <c r="AP273">
        <f t="shared" si="7"/>
        <v>-1439.3838653564439</v>
      </c>
      <c r="AQ273">
        <f t="shared" si="8"/>
        <v>520.1353759765625</v>
      </c>
      <c r="AR273">
        <f t="shared" si="9"/>
        <v>3828.8074340820294</v>
      </c>
      <c r="AS273">
        <f t="shared" si="10"/>
        <v>1570.3077850341797</v>
      </c>
      <c r="AT273">
        <f t="shared" si="11"/>
        <v>10385.01806640625</v>
      </c>
      <c r="AU273">
        <f t="shared" si="12"/>
        <v>-7016.5433959960919</v>
      </c>
      <c r="AV273">
        <f t="shared" si="13"/>
        <v>11027.188720703125</v>
      </c>
      <c r="AW273">
        <f t="shared" si="14"/>
        <v>2151.9180908203125</v>
      </c>
      <c r="AX273">
        <f t="shared" si="15"/>
        <v>913.66336059569994</v>
      </c>
      <c r="AY273">
        <f t="shared" si="16"/>
        <v>3888.3262939453125</v>
      </c>
      <c r="AZ273">
        <f t="shared" si="17"/>
        <v>34666.4189453125</v>
      </c>
      <c r="BA273">
        <f t="shared" si="18"/>
        <v>-239.99591064453216</v>
      </c>
    </row>
    <row r="274" spans="1:53" x14ac:dyDescent="0.45">
      <c r="A274">
        <v>22</v>
      </c>
      <c r="B274">
        <v>-24233.53515625</v>
      </c>
      <c r="C274">
        <v>-8322.779296875</v>
      </c>
      <c r="D274">
        <v>-18089.349609375</v>
      </c>
      <c r="E274">
        <v>-32128.07421875</v>
      </c>
      <c r="F274">
        <v>-24890.943359375</v>
      </c>
      <c r="G274">
        <v>-7831.54736328125</v>
      </c>
      <c r="H274">
        <v>-46858.88671875</v>
      </c>
      <c r="I274">
        <v>-54933.60546875</v>
      </c>
      <c r="J274">
        <v>-44886.87109375</v>
      </c>
      <c r="K274">
        <v>-64066.65625</v>
      </c>
      <c r="L274">
        <v>-7628.3876953125</v>
      </c>
      <c r="M274">
        <v>-27554.8984375</v>
      </c>
      <c r="N274">
        <v>31381.6015625</v>
      </c>
      <c r="O274">
        <v>-20386.583984375</v>
      </c>
      <c r="U274" s="2">
        <v>0.45833333333333331</v>
      </c>
      <c r="V274">
        <v>-24233.53515625</v>
      </c>
      <c r="W274">
        <v>-8322.779296875</v>
      </c>
      <c r="X274">
        <v>-18089.349609375</v>
      </c>
      <c r="Y274">
        <v>-32128.07421875</v>
      </c>
      <c r="Z274">
        <v>-24890.943359375</v>
      </c>
      <c r="AA274">
        <v>-7831.54736328125</v>
      </c>
      <c r="AB274">
        <v>-46858.88671875</v>
      </c>
      <c r="AC274">
        <v>-54933.60546875</v>
      </c>
      <c r="AD274">
        <v>-44886.87109375</v>
      </c>
      <c r="AE274">
        <v>-64066.65625</v>
      </c>
      <c r="AF274">
        <v>-7628.3876953125</v>
      </c>
      <c r="AG274">
        <v>-27554.8984375</v>
      </c>
      <c r="AH274">
        <v>31381.6015625</v>
      </c>
      <c r="AI274">
        <v>-20386.583984375</v>
      </c>
      <c r="AK274">
        <f t="shared" si="1"/>
        <v>-350430.51708984375</v>
      </c>
      <c r="AM274" s="2">
        <v>0.4375</v>
      </c>
      <c r="AN274">
        <f t="shared" si="2"/>
        <v>6583.821533203125</v>
      </c>
      <c r="AO274">
        <f t="shared" si="6"/>
        <v>2675.5387268066406</v>
      </c>
      <c r="AP274">
        <f t="shared" si="7"/>
        <v>-4404.9715042114258</v>
      </c>
      <c r="AQ274">
        <f t="shared" si="8"/>
        <v>-2507.8189086914053</v>
      </c>
      <c r="AR274">
        <f t="shared" si="9"/>
        <v>3318.0985412597656</v>
      </c>
      <c r="AS274">
        <f t="shared" si="10"/>
        <v>-2376.9696779251099</v>
      </c>
      <c r="AT274">
        <f t="shared" si="11"/>
        <v>8400.972900390625</v>
      </c>
      <c r="AU274">
        <f t="shared" si="12"/>
        <v>-19297.457885742188</v>
      </c>
      <c r="AV274">
        <f t="shared" si="13"/>
        <v>9500.331787109375</v>
      </c>
      <c r="AW274">
        <f t="shared" si="14"/>
        <v>-8820.7529907226544</v>
      </c>
      <c r="AX274">
        <f t="shared" si="15"/>
        <v>1148.3566589355451</v>
      </c>
      <c r="AY274">
        <f t="shared" si="16"/>
        <v>-3210.3940906524658</v>
      </c>
      <c r="AZ274">
        <f t="shared" si="17"/>
        <v>33393.60888671875</v>
      </c>
      <c r="BA274">
        <f t="shared" si="18"/>
        <v>-5643.3380126953125</v>
      </c>
    </row>
    <row r="275" spans="1:53" x14ac:dyDescent="0.45">
      <c r="A275">
        <v>23</v>
      </c>
      <c r="B275">
        <v>-30167.232421875</v>
      </c>
      <c r="C275">
        <v>-14358.884765625</v>
      </c>
      <c r="D275">
        <v>-23955.00390625</v>
      </c>
      <c r="E275">
        <v>-34586.765625</v>
      </c>
      <c r="F275">
        <v>-36538.65625</v>
      </c>
      <c r="G275">
        <v>-16669.400390625</v>
      </c>
      <c r="H275">
        <v>-62971.0703125</v>
      </c>
      <c r="I275">
        <v>-73553.359375</v>
      </c>
      <c r="J275">
        <v>-59336.88671875</v>
      </c>
      <c r="K275">
        <v>-82162.765625</v>
      </c>
      <c r="L275">
        <v>-11972.9580078125</v>
      </c>
      <c r="M275">
        <v>-46965.5625</v>
      </c>
      <c r="N275">
        <v>32232.486328125</v>
      </c>
      <c r="O275">
        <v>-25077.60546875</v>
      </c>
      <c r="U275" s="2">
        <v>0.47916666666666669</v>
      </c>
      <c r="V275">
        <v>-30167.232421875</v>
      </c>
      <c r="W275">
        <v>-14358.884765625</v>
      </c>
      <c r="X275">
        <v>-23955.00390625</v>
      </c>
      <c r="Y275">
        <v>-34586.765625</v>
      </c>
      <c r="Z275">
        <v>-36538.65625</v>
      </c>
      <c r="AA275">
        <v>-16669.400390625</v>
      </c>
      <c r="AB275">
        <v>-62971.0703125</v>
      </c>
      <c r="AC275">
        <v>-73553.359375</v>
      </c>
      <c r="AD275">
        <v>-59336.88671875</v>
      </c>
      <c r="AE275">
        <v>-82162.765625</v>
      </c>
      <c r="AF275">
        <v>-11972.9580078125</v>
      </c>
      <c r="AG275">
        <v>-46965.5625</v>
      </c>
      <c r="AH275">
        <v>32232.486328125</v>
      </c>
      <c r="AI275">
        <v>-25077.60546875</v>
      </c>
      <c r="AK275">
        <f t="shared" si="1"/>
        <v>-486083.6650390625</v>
      </c>
      <c r="AM275" s="2">
        <v>0.45833333333333331</v>
      </c>
      <c r="AN275">
        <f t="shared" si="2"/>
        <v>660.10784912109284</v>
      </c>
      <c r="AO275">
        <f t="shared" si="6"/>
        <v>2781.8529052734375</v>
      </c>
      <c r="AP275">
        <f t="shared" si="7"/>
        <v>-5312.966796875</v>
      </c>
      <c r="AQ275">
        <f t="shared" si="8"/>
        <v>-3808.8302612304701</v>
      </c>
      <c r="AR275">
        <f t="shared" si="9"/>
        <v>-1337.743408203125</v>
      </c>
      <c r="AS275">
        <f t="shared" si="10"/>
        <v>-3578.2093505859348</v>
      </c>
      <c r="AT275">
        <f t="shared" si="11"/>
        <v>879.7213134765625</v>
      </c>
      <c r="AU275">
        <f t="shared" si="12"/>
        <v>-22036.43798828125</v>
      </c>
      <c r="AV275">
        <f t="shared" si="13"/>
        <v>3960.9924163818359</v>
      </c>
      <c r="AW275">
        <f t="shared" si="14"/>
        <v>-16121.70166015625</v>
      </c>
      <c r="AX275">
        <f t="shared" si="15"/>
        <v>-1009.815673828125</v>
      </c>
      <c r="AY275">
        <f t="shared" si="16"/>
        <v>-4514.255859375</v>
      </c>
      <c r="AZ275">
        <f t="shared" si="17"/>
        <v>35996.22998046875</v>
      </c>
      <c r="BA275">
        <f t="shared" si="18"/>
        <v>-6050.397705078125</v>
      </c>
    </row>
    <row r="276" spans="1:53" x14ac:dyDescent="0.45">
      <c r="A276">
        <v>24</v>
      </c>
      <c r="B276">
        <v>-30742.009765625</v>
      </c>
      <c r="C276">
        <v>-14412.7109375</v>
      </c>
      <c r="D276">
        <v>-23616.025390625</v>
      </c>
      <c r="E276">
        <v>-33922.6328125</v>
      </c>
      <c r="F276">
        <v>-39780.37890625</v>
      </c>
      <c r="G276">
        <v>-17503.421875</v>
      </c>
      <c r="H276">
        <v>-64672.359375</v>
      </c>
      <c r="I276">
        <v>-70657.2265625</v>
      </c>
      <c r="J276">
        <v>-61878.921875</v>
      </c>
      <c r="K276">
        <v>-82324.09375</v>
      </c>
      <c r="L276">
        <v>-12037.7685546875</v>
      </c>
      <c r="M276">
        <v>-44738.48046875</v>
      </c>
      <c r="N276">
        <v>34858.41015625</v>
      </c>
      <c r="O276">
        <v>-23017.4453125</v>
      </c>
      <c r="U276" s="2">
        <v>0.5</v>
      </c>
      <c r="V276">
        <v>-30742.009765625</v>
      </c>
      <c r="W276">
        <v>-14412.7109375</v>
      </c>
      <c r="X276">
        <v>-23616.025390625</v>
      </c>
      <c r="Y276">
        <v>-33922.6328125</v>
      </c>
      <c r="Z276">
        <v>-39780.37890625</v>
      </c>
      <c r="AA276">
        <v>-17503.421875</v>
      </c>
      <c r="AB276">
        <v>-64672.359375</v>
      </c>
      <c r="AC276">
        <v>-70657.2265625</v>
      </c>
      <c r="AD276">
        <v>-61878.921875</v>
      </c>
      <c r="AE276">
        <v>-82324.09375</v>
      </c>
      <c r="AF276">
        <v>-12037.7685546875</v>
      </c>
      <c r="AG276">
        <v>-44738.48046875</v>
      </c>
      <c r="AH276">
        <v>34858.41015625</v>
      </c>
      <c r="AI276">
        <v>-23017.4453125</v>
      </c>
      <c r="AK276">
        <f t="shared" si="1"/>
        <v>-484445.0654296875</v>
      </c>
      <c r="AM276" s="2">
        <v>0.47916666666666669</v>
      </c>
      <c r="AN276">
        <f t="shared" si="2"/>
        <v>583.95040893554778</v>
      </c>
      <c r="AO276">
        <f t="shared" si="6"/>
        <v>2457.1822509765625</v>
      </c>
      <c r="AP276">
        <f t="shared" si="7"/>
        <v>-9825.5404052734375</v>
      </c>
      <c r="AQ276">
        <f t="shared" si="8"/>
        <v>-3862.0918579101553</v>
      </c>
      <c r="AR276">
        <f t="shared" si="9"/>
        <v>-2604.0404052734375</v>
      </c>
      <c r="AS276">
        <f t="shared" si="10"/>
        <v>-5036.0033569335928</v>
      </c>
      <c r="AT276">
        <f t="shared" si="11"/>
        <v>-2648.6171875</v>
      </c>
      <c r="AU276">
        <f t="shared" si="12"/>
        <v>-20099.381568908691</v>
      </c>
      <c r="AV276">
        <f t="shared" si="13"/>
        <v>2383.97314453125</v>
      </c>
      <c r="AW276">
        <f t="shared" si="14"/>
        <v>-12207.390625</v>
      </c>
      <c r="AX276">
        <f t="shared" si="15"/>
        <v>-2234.5892333984375</v>
      </c>
      <c r="AY276">
        <f t="shared" si="16"/>
        <v>-7829.525146484375</v>
      </c>
      <c r="AZ276">
        <f t="shared" si="17"/>
        <v>40553.85400390625</v>
      </c>
      <c r="BA276">
        <f t="shared" si="18"/>
        <v>-4865.06982421875</v>
      </c>
    </row>
    <row r="277" spans="1:53" x14ac:dyDescent="0.45">
      <c r="A277">
        <v>25</v>
      </c>
      <c r="B277">
        <v>-32168.4375</v>
      </c>
      <c r="C277">
        <v>-16456.05859375</v>
      </c>
      <c r="D277">
        <v>-25499.4765625</v>
      </c>
      <c r="E277">
        <v>-31659.890625</v>
      </c>
      <c r="F277">
        <v>-45444.171875</v>
      </c>
      <c r="G277">
        <v>-20061.98046875</v>
      </c>
      <c r="H277">
        <v>-68839.578125</v>
      </c>
      <c r="I277">
        <v>-70891.328125</v>
      </c>
      <c r="J277">
        <v>-65361.78515625</v>
      </c>
      <c r="K277">
        <v>-82152.296875</v>
      </c>
      <c r="L277">
        <v>-11353.5654296875</v>
      </c>
      <c r="M277">
        <v>-50425.70703125</v>
      </c>
      <c r="N277">
        <v>38733.35546875</v>
      </c>
      <c r="O277">
        <v>-21837.873046875</v>
      </c>
      <c r="U277" s="2">
        <v>0.52083333333333337</v>
      </c>
      <c r="V277">
        <v>-32168.4375</v>
      </c>
      <c r="W277">
        <v>-16456.05859375</v>
      </c>
      <c r="X277">
        <v>-25499.4765625</v>
      </c>
      <c r="Y277">
        <v>-31659.890625</v>
      </c>
      <c r="Z277">
        <v>-45444.171875</v>
      </c>
      <c r="AA277">
        <v>-20061.98046875</v>
      </c>
      <c r="AB277">
        <v>-68839.578125</v>
      </c>
      <c r="AC277">
        <v>-70891.328125</v>
      </c>
      <c r="AD277">
        <v>-65361.78515625</v>
      </c>
      <c r="AE277">
        <v>-82152.296875</v>
      </c>
      <c r="AF277">
        <v>-11353.5654296875</v>
      </c>
      <c r="AG277">
        <v>-50425.70703125</v>
      </c>
      <c r="AH277">
        <v>38733.35546875</v>
      </c>
      <c r="AI277">
        <v>-21837.873046875</v>
      </c>
      <c r="AK277">
        <f t="shared" si="1"/>
        <v>-503418.7939453125</v>
      </c>
      <c r="AM277" s="2">
        <v>0.5</v>
      </c>
      <c r="AN277">
        <f t="shared" si="2"/>
        <v>1220.5632934570322</v>
      </c>
      <c r="AO277">
        <f t="shared" si="6"/>
        <v>1759.2103271484375</v>
      </c>
      <c r="AP277">
        <f t="shared" si="7"/>
        <v>-11876.913330078125</v>
      </c>
      <c r="AQ277">
        <f t="shared" si="8"/>
        <v>-3614.6699829101581</v>
      </c>
      <c r="AR277">
        <f t="shared" si="9"/>
        <v>-4796.42724609375</v>
      </c>
      <c r="AS277">
        <f t="shared" si="10"/>
        <v>-3946.2825317382799</v>
      </c>
      <c r="AT277">
        <f t="shared" si="11"/>
        <v>-5471.2470703125</v>
      </c>
      <c r="AU277">
        <f t="shared" si="12"/>
        <v>-21333.617248535156</v>
      </c>
      <c r="AV277">
        <f t="shared" si="13"/>
        <v>-469.011962890625</v>
      </c>
      <c r="AW277">
        <f t="shared" si="14"/>
        <v>-12229.407470703125</v>
      </c>
      <c r="AX277">
        <f t="shared" si="15"/>
        <v>-4643.7003784179706</v>
      </c>
      <c r="AY277">
        <f t="shared" si="16"/>
        <v>-7488.330322265625</v>
      </c>
      <c r="AZ277">
        <f t="shared" si="17"/>
        <v>42082.0703125</v>
      </c>
      <c r="BA277">
        <f t="shared" si="18"/>
        <v>-6678.1280517578125</v>
      </c>
    </row>
    <row r="278" spans="1:53" x14ac:dyDescent="0.45">
      <c r="A278">
        <v>26</v>
      </c>
      <c r="B278">
        <v>-35446.90234375</v>
      </c>
      <c r="C278">
        <v>-14544.5615234375</v>
      </c>
      <c r="D278">
        <v>-28403.498046875</v>
      </c>
      <c r="E278">
        <v>-34026.80078125</v>
      </c>
      <c r="F278">
        <v>-46626.25390625</v>
      </c>
      <c r="G278">
        <v>-21918.34765625</v>
      </c>
      <c r="H278">
        <v>-70948.4765625</v>
      </c>
      <c r="I278">
        <v>-73519.953125</v>
      </c>
      <c r="J278">
        <v>-68834.625</v>
      </c>
      <c r="K278">
        <v>-86045.0625</v>
      </c>
      <c r="L278">
        <v>-12812.0234375</v>
      </c>
      <c r="M278">
        <v>-50122.18359375</v>
      </c>
      <c r="N278">
        <v>39913.64453125</v>
      </c>
      <c r="O278">
        <v>-21194.35546875</v>
      </c>
      <c r="U278" s="2">
        <v>0.54166666666666663</v>
      </c>
      <c r="V278">
        <v>-35446.90234375</v>
      </c>
      <c r="W278">
        <v>-14544.5615234375</v>
      </c>
      <c r="X278">
        <v>-28403.498046875</v>
      </c>
      <c r="Y278">
        <v>-34026.80078125</v>
      </c>
      <c r="Z278">
        <v>-46626.25390625</v>
      </c>
      <c r="AA278">
        <v>-21918.34765625</v>
      </c>
      <c r="AB278">
        <v>-70948.4765625</v>
      </c>
      <c r="AC278">
        <v>-73519.953125</v>
      </c>
      <c r="AD278">
        <v>-68834.625</v>
      </c>
      <c r="AE278">
        <v>-86045.0625</v>
      </c>
      <c r="AF278">
        <v>-12812.0234375</v>
      </c>
      <c r="AG278">
        <v>-50122.18359375</v>
      </c>
      <c r="AH278">
        <v>39913.64453125</v>
      </c>
      <c r="AI278">
        <v>-21194.35546875</v>
      </c>
      <c r="AK278">
        <f t="shared" si="1"/>
        <v>-524529.3994140625</v>
      </c>
      <c r="AM278" s="2">
        <v>0.52083333333333337</v>
      </c>
      <c r="AN278">
        <f t="shared" si="2"/>
        <v>-414.19989013671784</v>
      </c>
      <c r="AO278">
        <f t="shared" si="6"/>
        <v>4560.941650390625</v>
      </c>
      <c r="AP278">
        <f t="shared" si="7"/>
        <v>-10429.917114257813</v>
      </c>
      <c r="AQ278">
        <f t="shared" si="8"/>
        <v>-2141.6520385742174</v>
      </c>
      <c r="AR278">
        <f t="shared" si="9"/>
        <v>-3886.8681030273447</v>
      </c>
      <c r="AS278">
        <f t="shared" si="10"/>
        <v>-2433.4832153320326</v>
      </c>
      <c r="AT278">
        <f t="shared" si="11"/>
        <v>-4526.0474853515625</v>
      </c>
      <c r="AU278">
        <f t="shared" si="12"/>
        <v>-15083.885620117188</v>
      </c>
      <c r="AV278">
        <f t="shared" si="13"/>
        <v>2086.0006713867169</v>
      </c>
      <c r="AW278">
        <f t="shared" si="14"/>
        <v>-8381.7989501953125</v>
      </c>
      <c r="AX278">
        <f t="shared" si="15"/>
        <v>-2320.728271484375</v>
      </c>
      <c r="AY278">
        <f t="shared" si="16"/>
        <v>-5316.220947265625</v>
      </c>
      <c r="AZ278">
        <f t="shared" si="17"/>
        <v>49321.4990234375</v>
      </c>
      <c r="BA278">
        <f t="shared" si="18"/>
        <v>-2538.8205871582022</v>
      </c>
    </row>
    <row r="279" spans="1:53" x14ac:dyDescent="0.45">
      <c r="A279">
        <v>27</v>
      </c>
      <c r="B279">
        <v>-38843.12109375</v>
      </c>
      <c r="C279">
        <v>-16135.2607421875</v>
      </c>
      <c r="D279">
        <v>-31253.13671875</v>
      </c>
      <c r="E279">
        <v>-40096.3984375</v>
      </c>
      <c r="F279">
        <v>-49197.68359375</v>
      </c>
      <c r="G279">
        <v>-22026.365234375</v>
      </c>
      <c r="H279">
        <v>-77798.0703125</v>
      </c>
      <c r="I279">
        <v>-74612.6484375</v>
      </c>
      <c r="J279">
        <v>-77312.671875</v>
      </c>
      <c r="K279">
        <v>-90421.9140625</v>
      </c>
      <c r="L279">
        <v>-13946.373046875</v>
      </c>
      <c r="M279">
        <v>-52230.8125</v>
      </c>
      <c r="N279">
        <v>42218.17578125</v>
      </c>
      <c r="O279">
        <v>-19170.169921875</v>
      </c>
      <c r="U279" s="2">
        <v>0.5625</v>
      </c>
      <c r="V279">
        <v>-38843.12109375</v>
      </c>
      <c r="W279">
        <v>-16135.2607421875</v>
      </c>
      <c r="X279">
        <v>-31253.13671875</v>
      </c>
      <c r="Y279">
        <v>-40096.3984375</v>
      </c>
      <c r="Z279">
        <v>-49197.68359375</v>
      </c>
      <c r="AA279">
        <v>-22026.365234375</v>
      </c>
      <c r="AB279">
        <v>-77798.0703125</v>
      </c>
      <c r="AC279">
        <v>-74612.6484375</v>
      </c>
      <c r="AD279">
        <v>-77312.671875</v>
      </c>
      <c r="AE279">
        <v>-90421.9140625</v>
      </c>
      <c r="AF279">
        <v>-13946.373046875</v>
      </c>
      <c r="AG279">
        <v>-52230.8125</v>
      </c>
      <c r="AH279">
        <v>42218.17578125</v>
      </c>
      <c r="AI279">
        <v>-19170.169921875</v>
      </c>
      <c r="AK279">
        <f t="shared" si="1"/>
        <v>-560826.4501953125</v>
      </c>
      <c r="AM279" s="2">
        <v>0.54166666666666663</v>
      </c>
      <c r="AN279">
        <f t="shared" si="2"/>
        <v>-912.41252136230469</v>
      </c>
      <c r="AO279">
        <f t="shared" si="6"/>
        <v>10409.557250976563</v>
      </c>
      <c r="AP279">
        <f t="shared" si="7"/>
        <v>-14061.790863037109</v>
      </c>
      <c r="AQ279">
        <f t="shared" si="8"/>
        <v>356.1180419921875</v>
      </c>
      <c r="AR279">
        <f t="shared" si="9"/>
        <v>-573.5347900390625</v>
      </c>
      <c r="AS279">
        <f t="shared" si="10"/>
        <v>-6443.77978515625</v>
      </c>
      <c r="AT279">
        <f t="shared" si="11"/>
        <v>819.70556640625</v>
      </c>
      <c r="AU279">
        <f t="shared" si="12"/>
        <v>-23895.540161132813</v>
      </c>
      <c r="AV279">
        <f t="shared" si="13"/>
        <v>9106.240478515625</v>
      </c>
      <c r="AW279">
        <f t="shared" si="14"/>
        <v>-12312.948120117188</v>
      </c>
      <c r="AX279">
        <f t="shared" si="15"/>
        <v>1569.9906005859375</v>
      </c>
      <c r="AY279">
        <f t="shared" si="16"/>
        <v>-10715.960021972658</v>
      </c>
      <c r="AZ279">
        <f t="shared" si="17"/>
        <v>48493.279296875</v>
      </c>
      <c r="BA279">
        <f t="shared" si="18"/>
        <v>-5791.36962890625</v>
      </c>
    </row>
    <row r="280" spans="1:53" x14ac:dyDescent="0.45">
      <c r="A280">
        <v>28</v>
      </c>
      <c r="B280">
        <v>-33614.38671875</v>
      </c>
      <c r="C280">
        <v>-19971.00390625</v>
      </c>
      <c r="D280">
        <v>-33784.33984375</v>
      </c>
      <c r="E280">
        <v>-35277.390625</v>
      </c>
      <c r="F280">
        <v>-49583.953125</v>
      </c>
      <c r="G280">
        <v>-27419.4375</v>
      </c>
      <c r="H280">
        <v>-78650.25</v>
      </c>
      <c r="I280">
        <v>-84106.03125</v>
      </c>
      <c r="J280">
        <v>-73037.640625</v>
      </c>
      <c r="K280">
        <v>-93100.4609375</v>
      </c>
      <c r="L280">
        <v>-16407.142578125</v>
      </c>
      <c r="M280">
        <v>-63458.5</v>
      </c>
      <c r="N280">
        <v>40981.90234375</v>
      </c>
      <c r="O280">
        <v>-26478.552734375</v>
      </c>
      <c r="U280" s="2">
        <v>0.58333333333333337</v>
      </c>
      <c r="V280">
        <v>-33614.38671875</v>
      </c>
      <c r="W280">
        <v>-19971.00390625</v>
      </c>
      <c r="X280">
        <v>-33784.33984375</v>
      </c>
      <c r="Y280">
        <v>-35277.390625</v>
      </c>
      <c r="Z280">
        <v>-49583.953125</v>
      </c>
      <c r="AA280">
        <v>-27419.4375</v>
      </c>
      <c r="AB280">
        <v>-78650.25</v>
      </c>
      <c r="AC280">
        <v>-84106.03125</v>
      </c>
      <c r="AD280">
        <v>-73037.640625</v>
      </c>
      <c r="AE280">
        <v>-93100.4609375</v>
      </c>
      <c r="AF280">
        <v>-16407.142578125</v>
      </c>
      <c r="AG280">
        <v>-63458.5</v>
      </c>
      <c r="AH280">
        <v>40981.90234375</v>
      </c>
      <c r="AI280">
        <v>-26478.552734375</v>
      </c>
      <c r="AK280">
        <f t="shared" si="1"/>
        <v>-593907.1875</v>
      </c>
      <c r="AM280" s="2">
        <v>0.5625</v>
      </c>
      <c r="AN280">
        <f t="shared" si="2"/>
        <v>-2587.499267578125</v>
      </c>
      <c r="AO280">
        <f t="shared" si="6"/>
        <v>12426.851440429688</v>
      </c>
      <c r="AP280">
        <f t="shared" si="7"/>
        <v>-12634.419982910156</v>
      </c>
      <c r="AQ280">
        <f t="shared" si="8"/>
        <v>-2001.7583923339844</v>
      </c>
      <c r="AR280">
        <f t="shared" si="9"/>
        <v>771.31005859375</v>
      </c>
      <c r="AS280">
        <f t="shared" si="10"/>
        <v>-4642.9285888671875</v>
      </c>
      <c r="AT280">
        <f t="shared" si="11"/>
        <v>1717.86767578125</v>
      </c>
      <c r="AU280">
        <f t="shared" si="12"/>
        <v>-23408.038818359375</v>
      </c>
      <c r="AV280">
        <f t="shared" si="13"/>
        <v>9002.7138671875</v>
      </c>
      <c r="AW280">
        <f t="shared" si="14"/>
        <v>-14518.397705078125</v>
      </c>
      <c r="AX280">
        <f t="shared" si="15"/>
        <v>3646.6856689453125</v>
      </c>
      <c r="AY280">
        <f t="shared" si="16"/>
        <v>-7082.23095703125</v>
      </c>
      <c r="AZ280">
        <f t="shared" si="17"/>
        <v>49057.44482421875</v>
      </c>
      <c r="BA280">
        <f t="shared" si="18"/>
        <v>-5184.93310546875</v>
      </c>
    </row>
    <row r="281" spans="1:53" x14ac:dyDescent="0.45">
      <c r="A281">
        <v>29</v>
      </c>
      <c r="B281">
        <v>-25840.060546875</v>
      </c>
      <c r="C281">
        <v>-21636.98828125</v>
      </c>
      <c r="D281">
        <v>-30134.3359375</v>
      </c>
      <c r="E281">
        <v>-16887.84375</v>
      </c>
      <c r="F281">
        <v>-47500.73828125</v>
      </c>
      <c r="G281">
        <v>-22584.447265625</v>
      </c>
      <c r="H281">
        <v>-69512.109375</v>
      </c>
      <c r="I281">
        <v>-71829.640625</v>
      </c>
      <c r="J281">
        <v>-58745.82421875</v>
      </c>
      <c r="K281">
        <v>-70702.0625</v>
      </c>
      <c r="L281">
        <v>-19047.978515625</v>
      </c>
      <c r="M281">
        <v>-59457.21875</v>
      </c>
      <c r="N281">
        <v>46585.16015625</v>
      </c>
      <c r="O281">
        <v>-26292.498046875</v>
      </c>
      <c r="U281" s="2">
        <v>0.60416666666666663</v>
      </c>
      <c r="V281">
        <v>-25840.060546875</v>
      </c>
      <c r="W281">
        <v>-21636.98828125</v>
      </c>
      <c r="X281">
        <v>-30134.3359375</v>
      </c>
      <c r="Y281">
        <v>-16887.84375</v>
      </c>
      <c r="Z281">
        <v>-47500.73828125</v>
      </c>
      <c r="AA281">
        <v>-22584.447265625</v>
      </c>
      <c r="AB281">
        <v>-69512.109375</v>
      </c>
      <c r="AC281">
        <v>-71829.640625</v>
      </c>
      <c r="AD281">
        <v>-58745.82421875</v>
      </c>
      <c r="AE281">
        <v>-70702.0625</v>
      </c>
      <c r="AF281">
        <v>-19047.978515625</v>
      </c>
      <c r="AG281">
        <v>-59457.21875</v>
      </c>
      <c r="AH281">
        <v>46585.16015625</v>
      </c>
      <c r="AI281">
        <v>-26292.498046875</v>
      </c>
      <c r="AK281">
        <f t="shared" si="1"/>
        <v>-493586.5859375</v>
      </c>
      <c r="AM281" s="2">
        <v>0.58333333333333337</v>
      </c>
      <c r="AN281">
        <f t="shared" si="2"/>
        <v>4646.766357421875</v>
      </c>
      <c r="AO281">
        <f t="shared" si="6"/>
        <v>15375.129142761232</v>
      </c>
      <c r="AP281">
        <f t="shared" si="7"/>
        <v>-8207.3962707519549</v>
      </c>
      <c r="AQ281">
        <f t="shared" si="8"/>
        <v>210.220703125</v>
      </c>
      <c r="AR281">
        <f t="shared" si="9"/>
        <v>10961.112548828125</v>
      </c>
      <c r="AS281">
        <f t="shared" si="10"/>
        <v>946.69964599609284</v>
      </c>
      <c r="AT281">
        <f t="shared" si="11"/>
        <v>15402.05224609375</v>
      </c>
      <c r="AU281">
        <f t="shared" si="12"/>
        <v>-11481.105224609375</v>
      </c>
      <c r="AV281">
        <f t="shared" si="13"/>
        <v>21333.694580078125</v>
      </c>
      <c r="AW281">
        <f t="shared" si="14"/>
        <v>744.10693359375</v>
      </c>
      <c r="AX281">
        <f t="shared" si="15"/>
        <v>6726.5552978515634</v>
      </c>
      <c r="AY281">
        <f t="shared" si="16"/>
        <v>4021.356201171875</v>
      </c>
      <c r="AZ281">
        <f t="shared" si="17"/>
        <v>49023.935546875</v>
      </c>
      <c r="BA281">
        <f t="shared" si="18"/>
        <v>-796.4931640625</v>
      </c>
    </row>
    <row r="282" spans="1:53" x14ac:dyDescent="0.45">
      <c r="A282">
        <v>30</v>
      </c>
      <c r="B282">
        <v>-22668.732421875</v>
      </c>
      <c r="C282">
        <v>-19391.962890625</v>
      </c>
      <c r="D282">
        <v>-23613.9453125</v>
      </c>
      <c r="E282">
        <v>-13452.251953125</v>
      </c>
      <c r="F282">
        <v>-43053.93359375</v>
      </c>
      <c r="G282">
        <v>-17521.46875</v>
      </c>
      <c r="H282">
        <v>-60109.953125</v>
      </c>
      <c r="I282">
        <v>-58586.90625</v>
      </c>
      <c r="J282">
        <v>-48503.74609375</v>
      </c>
      <c r="K282">
        <v>-57245.328125</v>
      </c>
      <c r="L282">
        <v>-20607.875</v>
      </c>
      <c r="M282">
        <v>-48571.69921875</v>
      </c>
      <c r="N282">
        <v>48411.71875</v>
      </c>
      <c r="O282">
        <v>-22369.228515625</v>
      </c>
      <c r="U282" s="2">
        <v>0.625</v>
      </c>
      <c r="V282">
        <v>-22668.732421875</v>
      </c>
      <c r="W282">
        <v>-19391.962890625</v>
      </c>
      <c r="X282">
        <v>-23613.9453125</v>
      </c>
      <c r="Y282">
        <v>-13452.251953125</v>
      </c>
      <c r="Z282">
        <v>-43053.93359375</v>
      </c>
      <c r="AA282">
        <v>-17521.46875</v>
      </c>
      <c r="AB282">
        <v>-60109.953125</v>
      </c>
      <c r="AC282">
        <v>-58586.90625</v>
      </c>
      <c r="AD282">
        <v>-48503.74609375</v>
      </c>
      <c r="AE282">
        <v>-57245.328125</v>
      </c>
      <c r="AF282">
        <v>-20607.875</v>
      </c>
      <c r="AG282">
        <v>-48571.69921875</v>
      </c>
      <c r="AH282">
        <v>48411.71875</v>
      </c>
      <c r="AI282">
        <v>-22369.228515625</v>
      </c>
      <c r="AK282">
        <f t="shared" si="1"/>
        <v>-407285.3125</v>
      </c>
      <c r="AM282" s="2">
        <v>0.60416666666666663</v>
      </c>
      <c r="AN282">
        <f t="shared" si="2"/>
        <v>9557.319580078125</v>
      </c>
      <c r="AO282">
        <f t="shared" si="6"/>
        <v>15842.884979248047</v>
      </c>
      <c r="AP282">
        <f t="shared" si="7"/>
        <v>-2673.780029296875</v>
      </c>
      <c r="AQ282">
        <f t="shared" si="8"/>
        <v>9765.1233062744141</v>
      </c>
      <c r="AR282">
        <f t="shared" si="9"/>
        <v>12597.059326171875</v>
      </c>
      <c r="AS282">
        <f t="shared" si="10"/>
        <v>6626.7996826171875</v>
      </c>
      <c r="AT282">
        <f t="shared" si="11"/>
        <v>25991.106689453125</v>
      </c>
      <c r="AU282">
        <f t="shared" si="12"/>
        <v>4704.3140563964844</v>
      </c>
      <c r="AV282">
        <f t="shared" si="13"/>
        <v>32579.269622802734</v>
      </c>
      <c r="AW282">
        <f t="shared" si="14"/>
        <v>19707.874877929688</v>
      </c>
      <c r="AX282">
        <f t="shared" si="15"/>
        <v>4440.999755859375</v>
      </c>
      <c r="AY282">
        <f t="shared" si="16"/>
        <v>15887.88623046875</v>
      </c>
      <c r="AZ282">
        <f t="shared" si="17"/>
        <v>49258.16162109375</v>
      </c>
      <c r="BA282">
        <f t="shared" si="18"/>
        <v>2882.0868530273438</v>
      </c>
    </row>
    <row r="283" spans="1:53" x14ac:dyDescent="0.45">
      <c r="A283">
        <v>31</v>
      </c>
      <c r="B283">
        <v>-19440.59375</v>
      </c>
      <c r="C283">
        <v>-12089.2802734375</v>
      </c>
      <c r="D283">
        <v>-9354.65234375</v>
      </c>
      <c r="E283">
        <v>-6312.0380859375</v>
      </c>
      <c r="F283">
        <v>-29308.16015625</v>
      </c>
      <c r="G283">
        <v>-14058.7861328125</v>
      </c>
      <c r="H283">
        <v>-32625.580078125</v>
      </c>
      <c r="I283">
        <v>-28348.115234375</v>
      </c>
      <c r="J283">
        <v>-26816.52734375</v>
      </c>
      <c r="K283">
        <v>-31924.328125</v>
      </c>
      <c r="L283">
        <v>-13498.2255859375</v>
      </c>
      <c r="M283">
        <v>-25280.173828125</v>
      </c>
      <c r="N283">
        <v>54132.046875</v>
      </c>
      <c r="O283">
        <v>-9164.962890625</v>
      </c>
      <c r="U283" s="2">
        <v>0.64583333333333337</v>
      </c>
      <c r="V283">
        <v>-19440.59375</v>
      </c>
      <c r="W283">
        <v>-12089.2802734375</v>
      </c>
      <c r="X283">
        <v>-9354.65234375</v>
      </c>
      <c r="Y283">
        <v>-6312.0380859375</v>
      </c>
      <c r="Z283">
        <v>-29308.16015625</v>
      </c>
      <c r="AA283">
        <v>-14058.7861328125</v>
      </c>
      <c r="AB283">
        <v>-32625.580078125</v>
      </c>
      <c r="AC283">
        <v>-28348.115234375</v>
      </c>
      <c r="AD283">
        <v>-26816.52734375</v>
      </c>
      <c r="AE283">
        <v>-31924.328125</v>
      </c>
      <c r="AF283">
        <v>-13498.2255859375</v>
      </c>
      <c r="AG283">
        <v>-25280.173828125</v>
      </c>
      <c r="AH283">
        <v>54132.046875</v>
      </c>
      <c r="AI283">
        <v>-9164.962890625</v>
      </c>
      <c r="AK283">
        <f t="shared" si="1"/>
        <v>-204089.376953125</v>
      </c>
      <c r="AM283" s="2">
        <v>0.625</v>
      </c>
      <c r="AN283">
        <f t="shared" si="2"/>
        <v>14557.754611968994</v>
      </c>
      <c r="AO283">
        <f t="shared" si="6"/>
        <v>20710.098510742188</v>
      </c>
      <c r="AP283">
        <f t="shared" si="7"/>
        <v>1176.22412109375</v>
      </c>
      <c r="AQ283">
        <f t="shared" si="8"/>
        <v>14452.585937500004</v>
      </c>
      <c r="AR283">
        <f t="shared" si="9"/>
        <v>19761.427124023438</v>
      </c>
      <c r="AS283">
        <f t="shared" si="10"/>
        <v>8981.0333251953125</v>
      </c>
      <c r="AT283">
        <f t="shared" si="11"/>
        <v>39774.447235107422</v>
      </c>
      <c r="AU283">
        <f t="shared" si="12"/>
        <v>15003.331970214844</v>
      </c>
      <c r="AV283">
        <f t="shared" si="13"/>
        <v>43728.438232421875</v>
      </c>
      <c r="AW283">
        <f t="shared" si="14"/>
        <v>32940.422729492188</v>
      </c>
      <c r="AX283">
        <f t="shared" si="15"/>
        <v>8865.7713623046875</v>
      </c>
      <c r="AY283">
        <f t="shared" si="16"/>
        <v>22168.1376953125</v>
      </c>
      <c r="AZ283">
        <f t="shared" si="17"/>
        <v>52756.5263671875</v>
      </c>
      <c r="BA283">
        <f t="shared" si="18"/>
        <v>8092.6029357910174</v>
      </c>
    </row>
    <row r="284" spans="1:53" x14ac:dyDescent="0.45">
      <c r="A284">
        <v>32</v>
      </c>
      <c r="B284">
        <v>-13430.8291015625</v>
      </c>
      <c r="C284">
        <v>-2302.60400390625</v>
      </c>
      <c r="D284">
        <v>-1702.98254394531</v>
      </c>
      <c r="E284">
        <v>5704.84423828125</v>
      </c>
      <c r="F284">
        <v>-12669.349609375</v>
      </c>
      <c r="G284">
        <v>-7219.404296875</v>
      </c>
      <c r="H284">
        <v>-11959.0390625</v>
      </c>
      <c r="I284">
        <v>1832.69482421875</v>
      </c>
      <c r="J284">
        <v>577.78564453125</v>
      </c>
      <c r="K284">
        <v>-3298.65258789062</v>
      </c>
      <c r="L284">
        <v>-6490.029296875</v>
      </c>
      <c r="M284">
        <v>-6791.96044921875</v>
      </c>
      <c r="N284">
        <v>56081.6328125</v>
      </c>
      <c r="O284">
        <v>797.99523925781205</v>
      </c>
      <c r="U284" s="2">
        <v>0.66666666666666663</v>
      </c>
      <c r="V284">
        <v>-13430.8291015625</v>
      </c>
      <c r="W284">
        <v>-2302.60400390625</v>
      </c>
      <c r="X284">
        <v>-1702.98254394531</v>
      </c>
      <c r="Y284">
        <v>5704.84423828125</v>
      </c>
      <c r="Z284">
        <v>-12669.349609375</v>
      </c>
      <c r="AA284">
        <v>-7219.404296875</v>
      </c>
      <c r="AB284">
        <v>-11959.0390625</v>
      </c>
      <c r="AC284">
        <v>1832.69482421875</v>
      </c>
      <c r="AD284">
        <v>577.78564453125</v>
      </c>
      <c r="AE284">
        <v>-3298.65258789062</v>
      </c>
      <c r="AF284">
        <v>-6490.029296875</v>
      </c>
      <c r="AG284">
        <v>-6791.96044921875</v>
      </c>
      <c r="AH284">
        <v>56081.6328125</v>
      </c>
      <c r="AI284">
        <v>797.99523925781205</v>
      </c>
      <c r="AK284">
        <f t="shared" si="1"/>
        <v>-869.89819335936818</v>
      </c>
      <c r="AM284" s="2">
        <v>0.64583333333333337</v>
      </c>
      <c r="AN284">
        <f t="shared" si="2"/>
        <v>15588.003601074221</v>
      </c>
      <c r="AO284">
        <f t="shared" si="6"/>
        <v>25496.473602294918</v>
      </c>
      <c r="AP284">
        <f t="shared" si="7"/>
        <v>5364.5401306152326</v>
      </c>
      <c r="AQ284">
        <f t="shared" si="8"/>
        <v>19735.148941040039</v>
      </c>
      <c r="AR284">
        <f t="shared" si="9"/>
        <v>28997.6884765625</v>
      </c>
      <c r="AS284">
        <f t="shared" si="10"/>
        <v>15884.649458408356</v>
      </c>
      <c r="AT284">
        <f t="shared" si="11"/>
        <v>48922.982299804688</v>
      </c>
      <c r="AU284">
        <f t="shared" si="12"/>
        <v>32061.417242050171</v>
      </c>
      <c r="AV284">
        <f t="shared" si="13"/>
        <v>54294.305053710938</v>
      </c>
      <c r="AW284">
        <f t="shared" si="14"/>
        <v>49347.413909912109</v>
      </c>
      <c r="AX284">
        <f t="shared" si="15"/>
        <v>10667.494995117188</v>
      </c>
      <c r="AY284">
        <f t="shared" si="16"/>
        <v>36342.731323242188</v>
      </c>
      <c r="AZ284">
        <f t="shared" si="17"/>
        <v>56974.9111328125</v>
      </c>
      <c r="BA284">
        <f t="shared" si="18"/>
        <v>13633.902572631836</v>
      </c>
    </row>
    <row r="285" spans="1:53" x14ac:dyDescent="0.45">
      <c r="A285">
        <v>33</v>
      </c>
      <c r="B285">
        <v>-4384.62255859375</v>
      </c>
      <c r="C285">
        <v>8017.62109375</v>
      </c>
      <c r="D285">
        <v>-986.43212890625</v>
      </c>
      <c r="E285">
        <v>9150.8671875</v>
      </c>
      <c r="F285">
        <v>3349.19873046875</v>
      </c>
      <c r="G285">
        <v>-9287.8232421875</v>
      </c>
      <c r="H285">
        <v>6857.59716796875</v>
      </c>
      <c r="I285">
        <v>11318.0361328125</v>
      </c>
      <c r="J285">
        <v>20008.833984375</v>
      </c>
      <c r="K285">
        <v>9767.91796875</v>
      </c>
      <c r="L285">
        <v>-552.17303466796795</v>
      </c>
      <c r="M285">
        <v>6195.99609375</v>
      </c>
      <c r="N285">
        <v>53825.01171875</v>
      </c>
      <c r="O285">
        <v>11983.8603515625</v>
      </c>
      <c r="U285" s="2">
        <v>0.6875</v>
      </c>
      <c r="V285">
        <v>-4384.62255859375</v>
      </c>
      <c r="W285">
        <v>8017.62109375</v>
      </c>
      <c r="X285">
        <v>-986.43212890625</v>
      </c>
      <c r="Y285">
        <v>9150.8671875</v>
      </c>
      <c r="Z285">
        <v>3349.19873046875</v>
      </c>
      <c r="AA285">
        <v>-9287.8232421875</v>
      </c>
      <c r="AB285">
        <v>6857.59716796875</v>
      </c>
      <c r="AC285">
        <v>11318.0361328125</v>
      </c>
      <c r="AD285">
        <v>20008.833984375</v>
      </c>
      <c r="AE285">
        <v>9767.91796875</v>
      </c>
      <c r="AF285">
        <v>-552.17303466796795</v>
      </c>
      <c r="AG285">
        <v>6195.99609375</v>
      </c>
      <c r="AH285">
        <v>53825.01171875</v>
      </c>
      <c r="AI285">
        <v>11983.8603515625</v>
      </c>
      <c r="AK285">
        <f t="shared" si="1"/>
        <v>125263.88946533203</v>
      </c>
      <c r="AM285" s="2">
        <v>0.66666666666666663</v>
      </c>
      <c r="AN285">
        <f t="shared" si="2"/>
        <v>21942.895439147946</v>
      </c>
      <c r="AO285">
        <f t="shared" si="6"/>
        <v>30033.611083984375</v>
      </c>
      <c r="AP285">
        <f t="shared" si="7"/>
        <v>10591.233520507813</v>
      </c>
      <c r="AQ285">
        <f t="shared" si="8"/>
        <v>22070.736274719238</v>
      </c>
      <c r="AR285">
        <f t="shared" si="9"/>
        <v>38100.930847167969</v>
      </c>
      <c r="AS285">
        <f t="shared" si="10"/>
        <v>21682.255187988281</v>
      </c>
      <c r="AT285">
        <f t="shared" si="11"/>
        <v>63570.3955078125</v>
      </c>
      <c r="AU285">
        <f t="shared" si="12"/>
        <v>43799.274780273438</v>
      </c>
      <c r="AV285">
        <f t="shared" si="13"/>
        <v>63935.062744140625</v>
      </c>
      <c r="AW285">
        <f t="shared" si="14"/>
        <v>62164.208435058594</v>
      </c>
      <c r="AX285">
        <f t="shared" si="15"/>
        <v>13762.127258300781</v>
      </c>
      <c r="AY285">
        <f t="shared" si="16"/>
        <v>50910.338134765625</v>
      </c>
      <c r="AZ285">
        <f t="shared" si="17"/>
        <v>57421.23876953125</v>
      </c>
      <c r="BA285">
        <f t="shared" si="18"/>
        <v>17354.30103302002</v>
      </c>
    </row>
    <row r="286" spans="1:53" x14ac:dyDescent="0.45">
      <c r="A286">
        <v>34</v>
      </c>
      <c r="B286">
        <v>2131.76000976562</v>
      </c>
      <c r="C286">
        <v>19766.1484375</v>
      </c>
      <c r="D286">
        <v>9327.4306640625</v>
      </c>
      <c r="E286">
        <v>20740.486328125</v>
      </c>
      <c r="F286">
        <v>20147.1328125</v>
      </c>
      <c r="G286">
        <v>2424.47778320312</v>
      </c>
      <c r="H286">
        <v>32705.6328125</v>
      </c>
      <c r="I286">
        <v>29504.51953125</v>
      </c>
      <c r="J286">
        <v>47621.57421875</v>
      </c>
      <c r="K286">
        <v>31994.30859375</v>
      </c>
      <c r="L286">
        <v>7356.3037109375</v>
      </c>
      <c r="M286">
        <v>27989.0234375</v>
      </c>
      <c r="N286">
        <v>50748.33984375</v>
      </c>
      <c r="O286">
        <v>17829.748046875</v>
      </c>
      <c r="U286" s="2">
        <v>0.70833333333333337</v>
      </c>
      <c r="V286">
        <v>2131.76000976562</v>
      </c>
      <c r="W286">
        <v>19766.1484375</v>
      </c>
      <c r="X286">
        <v>9327.4306640625</v>
      </c>
      <c r="Y286">
        <v>20740.486328125</v>
      </c>
      <c r="Z286">
        <v>20147.1328125</v>
      </c>
      <c r="AA286">
        <v>2424.47778320312</v>
      </c>
      <c r="AB286">
        <v>32705.6328125</v>
      </c>
      <c r="AC286">
        <v>29504.51953125</v>
      </c>
      <c r="AD286">
        <v>47621.57421875</v>
      </c>
      <c r="AE286">
        <v>31994.30859375</v>
      </c>
      <c r="AF286">
        <v>7356.3037109375</v>
      </c>
      <c r="AG286">
        <v>27989.0234375</v>
      </c>
      <c r="AH286">
        <v>50748.33984375</v>
      </c>
      <c r="AI286">
        <v>17829.748046875</v>
      </c>
      <c r="AK286">
        <f t="shared" si="1"/>
        <v>320286.88623046875</v>
      </c>
      <c r="AM286" s="2">
        <v>0.6875</v>
      </c>
      <c r="AN286">
        <f t="shared" si="2"/>
        <v>27602.097290039063</v>
      </c>
      <c r="AO286">
        <f t="shared" si="6"/>
        <v>31724.866455078125</v>
      </c>
      <c r="AP286">
        <f t="shared" si="7"/>
        <v>14348.196411132813</v>
      </c>
      <c r="AQ286">
        <f t="shared" si="8"/>
        <v>26841.5859375</v>
      </c>
      <c r="AR286">
        <f t="shared" si="9"/>
        <v>45476.30908203125</v>
      </c>
      <c r="AS286">
        <f t="shared" si="10"/>
        <v>26947.15087890625</v>
      </c>
      <c r="AT286">
        <f t="shared" si="11"/>
        <v>73258.42333984375</v>
      </c>
      <c r="AU286">
        <f t="shared" si="12"/>
        <v>55823.859619140625</v>
      </c>
      <c r="AV286">
        <f t="shared" si="13"/>
        <v>74896.1513671875</v>
      </c>
      <c r="AW286">
        <f t="shared" si="14"/>
        <v>76867.556884765625</v>
      </c>
      <c r="AX286">
        <f t="shared" si="15"/>
        <v>16013.43359375</v>
      </c>
      <c r="AY286">
        <f t="shared" si="16"/>
        <v>57534.9580078125</v>
      </c>
      <c r="AZ286">
        <f t="shared" si="17"/>
        <v>57953.88623046875</v>
      </c>
      <c r="BA286">
        <f t="shared" si="18"/>
        <v>21123.870132446289</v>
      </c>
    </row>
    <row r="287" spans="1:53" x14ac:dyDescent="0.45">
      <c r="A287">
        <v>35</v>
      </c>
      <c r="B287">
        <v>17811.6640625</v>
      </c>
      <c r="C287">
        <v>31591.451171875</v>
      </c>
      <c r="D287">
        <v>16871.017578125</v>
      </c>
      <c r="E287">
        <v>33220.296875</v>
      </c>
      <c r="F287">
        <v>39174.1953125</v>
      </c>
      <c r="G287">
        <v>23032.59765625</v>
      </c>
      <c r="H287">
        <v>65208.6015625</v>
      </c>
      <c r="I287">
        <v>61907.49609375</v>
      </c>
      <c r="J287">
        <v>76114.6328125</v>
      </c>
      <c r="K287">
        <v>72186.421875</v>
      </c>
      <c r="L287">
        <v>15836.9794921875</v>
      </c>
      <c r="M287">
        <v>58588.91796875</v>
      </c>
      <c r="N287">
        <v>52306.8125</v>
      </c>
      <c r="O287">
        <v>24511.916015625</v>
      </c>
      <c r="U287" s="2">
        <v>0.72916666666666663</v>
      </c>
      <c r="V287">
        <v>17811.6640625</v>
      </c>
      <c r="W287">
        <v>31591.451171875</v>
      </c>
      <c r="X287">
        <v>16871.017578125</v>
      </c>
      <c r="Y287">
        <v>33220.296875</v>
      </c>
      <c r="Z287">
        <v>39174.1953125</v>
      </c>
      <c r="AA287">
        <v>23032.59765625</v>
      </c>
      <c r="AB287">
        <v>65208.6015625</v>
      </c>
      <c r="AC287">
        <v>61907.49609375</v>
      </c>
      <c r="AD287">
        <v>76114.6328125</v>
      </c>
      <c r="AE287">
        <v>72186.421875</v>
      </c>
      <c r="AF287">
        <v>15836.9794921875</v>
      </c>
      <c r="AG287">
        <v>58588.91796875</v>
      </c>
      <c r="AH287">
        <v>52306.8125</v>
      </c>
      <c r="AI287">
        <v>24511.916015625</v>
      </c>
      <c r="AK287">
        <f t="shared" si="1"/>
        <v>588363.0009765625</v>
      </c>
      <c r="AM287" s="2">
        <v>0.70833333333333337</v>
      </c>
      <c r="AN287">
        <f t="shared" si="2"/>
        <v>39949.854736328125</v>
      </c>
      <c r="AO287">
        <f t="shared" si="6"/>
        <v>35962.8974609375</v>
      </c>
      <c r="AP287">
        <f t="shared" si="7"/>
        <v>26035.777954101563</v>
      </c>
      <c r="AQ287">
        <f t="shared" si="8"/>
        <v>41520.25634765625</v>
      </c>
      <c r="AR287">
        <f t="shared" si="9"/>
        <v>57306.95166015625</v>
      </c>
      <c r="AS287">
        <f t="shared" si="10"/>
        <v>35640.409423828125</v>
      </c>
      <c r="AT287">
        <f t="shared" si="11"/>
        <v>97603.056640625</v>
      </c>
      <c r="AU287">
        <f t="shared" si="12"/>
        <v>89058.2919921875</v>
      </c>
      <c r="AV287">
        <f t="shared" si="13"/>
        <v>98625.26025390625</v>
      </c>
      <c r="AW287">
        <f t="shared" si="14"/>
        <v>113227.720703125</v>
      </c>
      <c r="AX287">
        <f t="shared" si="15"/>
        <v>20171.300537109375</v>
      </c>
      <c r="AY287">
        <f t="shared" si="16"/>
        <v>77815.09521484375</v>
      </c>
      <c r="AZ287">
        <f t="shared" si="17"/>
        <v>65143.9990234375</v>
      </c>
      <c r="BA287">
        <f t="shared" si="18"/>
        <v>34863.2451171875</v>
      </c>
    </row>
    <row r="288" spans="1:53" x14ac:dyDescent="0.45">
      <c r="A288">
        <v>36</v>
      </c>
      <c r="B288">
        <v>38151.703125</v>
      </c>
      <c r="C288">
        <v>41113.49609375</v>
      </c>
      <c r="D288">
        <v>35089.90625</v>
      </c>
      <c r="E288">
        <v>46338.10546875</v>
      </c>
      <c r="F288">
        <v>66977.046875</v>
      </c>
      <c r="G288">
        <v>41686.1953125</v>
      </c>
      <c r="H288">
        <v>106745.015625</v>
      </c>
      <c r="I288">
        <v>114916.984375</v>
      </c>
      <c r="J288">
        <v>110645.1796875</v>
      </c>
      <c r="K288">
        <v>130117.609375</v>
      </c>
      <c r="L288">
        <v>26384.23828125</v>
      </c>
      <c r="M288">
        <v>91328.3359375</v>
      </c>
      <c r="N288">
        <v>66442.328125</v>
      </c>
      <c r="O288">
        <v>44449.0703125</v>
      </c>
      <c r="U288" s="2">
        <v>0.75</v>
      </c>
      <c r="V288">
        <v>38151.703125</v>
      </c>
      <c r="W288">
        <v>41113.49609375</v>
      </c>
      <c r="X288">
        <v>35089.90625</v>
      </c>
      <c r="Y288">
        <v>46338.10546875</v>
      </c>
      <c r="Z288">
        <v>66977.046875</v>
      </c>
      <c r="AA288">
        <v>41686.1953125</v>
      </c>
      <c r="AB288">
        <v>106745.015625</v>
      </c>
      <c r="AC288">
        <v>114916.984375</v>
      </c>
      <c r="AD288">
        <v>110645.1796875</v>
      </c>
      <c r="AE288">
        <v>130117.609375</v>
      </c>
      <c r="AF288">
        <v>26384.23828125</v>
      </c>
      <c r="AG288">
        <v>91328.3359375</v>
      </c>
      <c r="AH288">
        <v>66442.328125</v>
      </c>
      <c r="AI288">
        <v>44449.0703125</v>
      </c>
      <c r="AK288">
        <f t="shared" si="1"/>
        <v>960385.21484375</v>
      </c>
      <c r="AM288" s="2">
        <v>0.72916666666666663</v>
      </c>
      <c r="AN288">
        <f t="shared" si="2"/>
        <v>52671.69140625</v>
      </c>
      <c r="AO288">
        <f t="shared" si="6"/>
        <v>46766.60693359375</v>
      </c>
      <c r="AP288">
        <f t="shared" si="7"/>
        <v>37974.767578125</v>
      </c>
      <c r="AQ288">
        <f t="shared" si="8"/>
        <v>57321.48779296875</v>
      </c>
      <c r="AR288">
        <f t="shared" si="9"/>
        <v>76899.58935546875</v>
      </c>
      <c r="AS288">
        <f t="shared" si="10"/>
        <v>42743.874267578125</v>
      </c>
      <c r="AT288">
        <f t="shared" si="11"/>
        <v>131150.7998046875</v>
      </c>
      <c r="AU288">
        <f t="shared" si="12"/>
        <v>115948.8525390625</v>
      </c>
      <c r="AV288">
        <f t="shared" si="13"/>
        <v>129873.234375</v>
      </c>
      <c r="AW288">
        <f t="shared" si="14"/>
        <v>143971.7099609375</v>
      </c>
      <c r="AX288">
        <f t="shared" si="15"/>
        <v>28635.6611328125</v>
      </c>
      <c r="AY288">
        <f t="shared" si="16"/>
        <v>95352.1953125</v>
      </c>
      <c r="AZ288">
        <f t="shared" si="17"/>
        <v>70211.150390625</v>
      </c>
      <c r="BA288">
        <f t="shared" si="18"/>
        <v>42646.86328125</v>
      </c>
    </row>
    <row r="289" spans="1:53" x14ac:dyDescent="0.45">
      <c r="A289">
        <v>37</v>
      </c>
      <c r="B289">
        <v>49332.26953125</v>
      </c>
      <c r="C289">
        <v>45574.859375</v>
      </c>
      <c r="D289">
        <v>43543.703125</v>
      </c>
      <c r="E289">
        <v>60313.7578125</v>
      </c>
      <c r="F289">
        <v>84036.2578125</v>
      </c>
      <c r="G289">
        <v>47093.3203125</v>
      </c>
      <c r="H289">
        <v>133615.3125</v>
      </c>
      <c r="I289">
        <v>139653.84375</v>
      </c>
      <c r="J289">
        <v>142171.015625</v>
      </c>
      <c r="K289">
        <v>160871.84375</v>
      </c>
      <c r="L289">
        <v>34580.78125</v>
      </c>
      <c r="M289">
        <v>111073.8984375</v>
      </c>
      <c r="N289">
        <v>61793.203125</v>
      </c>
      <c r="O289">
        <v>49716.0703125</v>
      </c>
      <c r="U289" s="2">
        <v>0.77083333333333337</v>
      </c>
      <c r="V289">
        <v>49332.26953125</v>
      </c>
      <c r="W289">
        <v>45574.859375</v>
      </c>
      <c r="X289">
        <v>43543.703125</v>
      </c>
      <c r="Y289">
        <v>60313.7578125</v>
      </c>
      <c r="Z289">
        <v>84036.2578125</v>
      </c>
      <c r="AA289">
        <v>47093.3203125</v>
      </c>
      <c r="AB289">
        <v>133615.3125</v>
      </c>
      <c r="AC289">
        <v>139653.84375</v>
      </c>
      <c r="AD289">
        <v>142171.015625</v>
      </c>
      <c r="AE289">
        <v>160871.84375</v>
      </c>
      <c r="AF289">
        <v>34580.78125</v>
      </c>
      <c r="AG289">
        <v>111073.8984375</v>
      </c>
      <c r="AH289">
        <v>61793.203125</v>
      </c>
      <c r="AI289">
        <v>49716.0703125</v>
      </c>
      <c r="AK289">
        <f t="shared" si="1"/>
        <v>1163370.13671875</v>
      </c>
      <c r="AM289" s="2">
        <v>0.75</v>
      </c>
      <c r="AN289">
        <f t="shared" si="2"/>
        <v>64852.6201171875</v>
      </c>
      <c r="AO289">
        <f t="shared" si="6"/>
        <v>50252.9404296875</v>
      </c>
      <c r="AP289">
        <f t="shared" si="7"/>
        <v>50873.720703125</v>
      </c>
      <c r="AQ289">
        <f t="shared" si="8"/>
        <v>72561.4404296875</v>
      </c>
      <c r="AR289">
        <f t="shared" si="9"/>
        <v>93652.736328125</v>
      </c>
      <c r="AS289">
        <f t="shared" si="10"/>
        <v>52349.46240234375</v>
      </c>
      <c r="AT289">
        <f t="shared" si="11"/>
        <v>157113.0546875</v>
      </c>
      <c r="AU289">
        <f t="shared" si="12"/>
        <v>155780.04296875</v>
      </c>
      <c r="AV289">
        <f t="shared" si="13"/>
        <v>158577.857421875</v>
      </c>
      <c r="AW289">
        <f t="shared" si="14"/>
        <v>187291.123046875</v>
      </c>
      <c r="AX289">
        <f t="shared" si="15"/>
        <v>34149.1123046875</v>
      </c>
      <c r="AY289">
        <f t="shared" si="16"/>
        <v>119037.6396484375</v>
      </c>
      <c r="AZ289">
        <f t="shared" si="17"/>
        <v>78610.3994140625</v>
      </c>
      <c r="BA289">
        <f t="shared" si="18"/>
        <v>60358.1376953125</v>
      </c>
    </row>
    <row r="290" spans="1:53" x14ac:dyDescent="0.45">
      <c r="A290">
        <v>38</v>
      </c>
      <c r="B290">
        <v>68534.3671875</v>
      </c>
      <c r="C290">
        <v>41938.30078125</v>
      </c>
      <c r="D290">
        <v>51669.7578125</v>
      </c>
      <c r="E290">
        <v>72196.8359375</v>
      </c>
      <c r="F290">
        <v>88164.5</v>
      </c>
      <c r="G290">
        <v>53514.51953125</v>
      </c>
      <c r="H290">
        <v>156590.734375</v>
      </c>
      <c r="I290">
        <v>148000.375</v>
      </c>
      <c r="J290">
        <v>162680.15625</v>
      </c>
      <c r="K290">
        <v>186958.8125</v>
      </c>
      <c r="L290">
        <v>29553.193359375</v>
      </c>
      <c r="M290">
        <v>122827.578125</v>
      </c>
      <c r="N290">
        <v>55713.68359375</v>
      </c>
      <c r="O290">
        <v>50056.1328125</v>
      </c>
      <c r="U290" s="2">
        <v>0.79166666666666663</v>
      </c>
      <c r="V290">
        <v>68534.3671875</v>
      </c>
      <c r="W290">
        <v>41938.30078125</v>
      </c>
      <c r="X290">
        <v>51669.7578125</v>
      </c>
      <c r="Y290">
        <v>72196.8359375</v>
      </c>
      <c r="Z290">
        <v>88164.5</v>
      </c>
      <c r="AA290">
        <v>53514.51953125</v>
      </c>
      <c r="AB290">
        <v>156590.734375</v>
      </c>
      <c r="AC290">
        <v>148000.375</v>
      </c>
      <c r="AD290">
        <v>162680.15625</v>
      </c>
      <c r="AE290">
        <v>186958.8125</v>
      </c>
      <c r="AF290">
        <v>29553.193359375</v>
      </c>
      <c r="AG290">
        <v>122827.578125</v>
      </c>
      <c r="AH290">
        <v>55713.68359375</v>
      </c>
      <c r="AI290">
        <v>50056.1328125</v>
      </c>
      <c r="AK290">
        <f t="shared" si="1"/>
        <v>1288398.947265625</v>
      </c>
      <c r="AM290" s="2">
        <v>0.77083333333333337</v>
      </c>
      <c r="AN290">
        <f t="shared" si="2"/>
        <v>76847.5615234375</v>
      </c>
      <c r="AO290">
        <f t="shared" si="6"/>
        <v>56385.10595703125</v>
      </c>
      <c r="AP290">
        <f t="shared" si="7"/>
        <v>59076.39892578125</v>
      </c>
      <c r="AQ290">
        <f t="shared" si="8"/>
        <v>84201.3408203125</v>
      </c>
      <c r="AR290">
        <f t="shared" si="9"/>
        <v>109574.978515625</v>
      </c>
      <c r="AS290">
        <f t="shared" si="10"/>
        <v>58496.27734375</v>
      </c>
      <c r="AT290">
        <f t="shared" si="11"/>
        <v>185500.654296875</v>
      </c>
      <c r="AU290">
        <f t="shared" si="12"/>
        <v>183675.416015625</v>
      </c>
      <c r="AV290">
        <f t="shared" si="13"/>
        <v>186517.787109375</v>
      </c>
      <c r="AW290">
        <f t="shared" si="14"/>
        <v>224318.087890625</v>
      </c>
      <c r="AX290">
        <f t="shared" si="15"/>
        <v>38417.85498046875</v>
      </c>
      <c r="AY290">
        <f t="shared" si="16"/>
        <v>138006.109375</v>
      </c>
      <c r="AZ290">
        <f t="shared" si="17"/>
        <v>86802.3369140625</v>
      </c>
      <c r="BA290">
        <f t="shared" si="18"/>
        <v>74289.9287109375</v>
      </c>
    </row>
    <row r="291" spans="1:53" x14ac:dyDescent="0.45">
      <c r="A291">
        <v>39</v>
      </c>
      <c r="B291">
        <v>67550.640625</v>
      </c>
      <c r="C291">
        <v>40313.37890625</v>
      </c>
      <c r="D291">
        <v>49662.80859375</v>
      </c>
      <c r="E291">
        <v>74465.109375</v>
      </c>
      <c r="F291">
        <v>83783.8671875</v>
      </c>
      <c r="G291">
        <v>51318.0859375</v>
      </c>
      <c r="H291">
        <v>152791.796875</v>
      </c>
      <c r="I291">
        <v>149877.453125</v>
      </c>
      <c r="J291">
        <v>159167.125</v>
      </c>
      <c r="K291">
        <v>189905.3125</v>
      </c>
      <c r="L291">
        <v>29281.115234375</v>
      </c>
      <c r="M291">
        <v>118270.203125</v>
      </c>
      <c r="N291">
        <v>56177.81640625</v>
      </c>
      <c r="O291">
        <v>55251.8515625</v>
      </c>
      <c r="U291" s="2">
        <v>0.8125</v>
      </c>
      <c r="V291">
        <v>67550.640625</v>
      </c>
      <c r="W291">
        <v>40313.37890625</v>
      </c>
      <c r="X291">
        <v>49662.80859375</v>
      </c>
      <c r="Y291">
        <v>74465.109375</v>
      </c>
      <c r="Z291">
        <v>83783.8671875</v>
      </c>
      <c r="AA291">
        <v>51318.0859375</v>
      </c>
      <c r="AB291">
        <v>152791.796875</v>
      </c>
      <c r="AC291">
        <v>149877.453125</v>
      </c>
      <c r="AD291">
        <v>159167.125</v>
      </c>
      <c r="AE291">
        <v>189905.3125</v>
      </c>
      <c r="AF291">
        <v>29281.115234375</v>
      </c>
      <c r="AG291">
        <v>118270.203125</v>
      </c>
      <c r="AH291">
        <v>56177.81640625</v>
      </c>
      <c r="AI291">
        <v>55251.8515625</v>
      </c>
      <c r="AK291">
        <f t="shared" si="1"/>
        <v>1277816.564453125</v>
      </c>
      <c r="AM291" s="2">
        <v>0.79166666666666663</v>
      </c>
      <c r="AN291">
        <f t="shared" si="2"/>
        <v>82850.1689453125</v>
      </c>
      <c r="AO291">
        <f t="shared" si="6"/>
        <v>58957.85302734375</v>
      </c>
      <c r="AP291">
        <f t="shared" si="7"/>
        <v>59878.61376953125</v>
      </c>
      <c r="AQ291">
        <f t="shared" si="8"/>
        <v>87782.0400390625</v>
      </c>
      <c r="AR291">
        <f t="shared" si="9"/>
        <v>117758.3515625</v>
      </c>
      <c r="AS291">
        <f t="shared" si="10"/>
        <v>63497.94970703125</v>
      </c>
      <c r="AT291">
        <f t="shared" si="11"/>
        <v>195421.921875</v>
      </c>
      <c r="AU291">
        <f t="shared" si="12"/>
        <v>196007.560546875</v>
      </c>
      <c r="AV291">
        <f t="shared" si="13"/>
        <v>198347.318359375</v>
      </c>
      <c r="AW291">
        <f t="shared" si="14"/>
        <v>243944.228515625</v>
      </c>
      <c r="AX291">
        <f t="shared" si="15"/>
        <v>41384.7744140625</v>
      </c>
      <c r="AY291">
        <f t="shared" si="16"/>
        <v>144566.1875</v>
      </c>
      <c r="AZ291">
        <f t="shared" si="17"/>
        <v>90059.919921875</v>
      </c>
      <c r="BA291">
        <f t="shared" si="18"/>
        <v>81545.9501953125</v>
      </c>
    </row>
    <row r="292" spans="1:53" x14ac:dyDescent="0.45">
      <c r="A292">
        <v>40</v>
      </c>
      <c r="B292">
        <v>62459.68359375</v>
      </c>
      <c r="C292">
        <v>44248.85546875</v>
      </c>
      <c r="D292">
        <v>45645.34375</v>
      </c>
      <c r="E292">
        <v>75451.25</v>
      </c>
      <c r="F292">
        <v>84361.4765625</v>
      </c>
      <c r="G292">
        <v>55402.80859375</v>
      </c>
      <c r="H292">
        <v>146594.34375</v>
      </c>
      <c r="I292">
        <v>155259.453125</v>
      </c>
      <c r="J292">
        <v>153981.6875</v>
      </c>
      <c r="K292">
        <v>193061.65625</v>
      </c>
      <c r="L292">
        <v>29653.841796875</v>
      </c>
      <c r="M292">
        <v>119336.46875</v>
      </c>
      <c r="N292">
        <v>61525.06640625</v>
      </c>
      <c r="O292">
        <v>58200.80078125</v>
      </c>
      <c r="U292" s="2">
        <v>0.83333333333333337</v>
      </c>
      <c r="V292">
        <v>62459.68359375</v>
      </c>
      <c r="W292">
        <v>44248.85546875</v>
      </c>
      <c r="X292">
        <v>45645.34375</v>
      </c>
      <c r="Y292">
        <v>75451.25</v>
      </c>
      <c r="Z292">
        <v>84361.4765625</v>
      </c>
      <c r="AA292">
        <v>55402.80859375</v>
      </c>
      <c r="AB292">
        <v>146594.34375</v>
      </c>
      <c r="AC292">
        <v>155259.453125</v>
      </c>
      <c r="AD292">
        <v>153981.6875</v>
      </c>
      <c r="AE292">
        <v>193061.65625</v>
      </c>
      <c r="AF292">
        <v>29653.841796875</v>
      </c>
      <c r="AG292">
        <v>119336.46875</v>
      </c>
      <c r="AH292">
        <v>61525.06640625</v>
      </c>
      <c r="AI292">
        <v>58200.80078125</v>
      </c>
      <c r="AK292">
        <f t="shared" si="1"/>
        <v>1285182.736328125</v>
      </c>
      <c r="AM292" s="2">
        <v>0.8125</v>
      </c>
      <c r="AN292">
        <f t="shared" si="2"/>
        <v>92520.265625</v>
      </c>
      <c r="AO292">
        <f t="shared" si="6"/>
        <v>61614.60791015625</v>
      </c>
      <c r="AP292">
        <f t="shared" si="7"/>
        <v>63960.8798828125</v>
      </c>
      <c r="AQ292">
        <f t="shared" si="8"/>
        <v>90519.0419921875</v>
      </c>
      <c r="AR292">
        <f t="shared" si="9"/>
        <v>126466.94140625</v>
      </c>
      <c r="AS292">
        <f t="shared" si="10"/>
        <v>65826.13720703125</v>
      </c>
      <c r="AT292">
        <f t="shared" si="11"/>
        <v>211036.634765625</v>
      </c>
      <c r="AU292">
        <f t="shared" si="12"/>
        <v>199477.67578125</v>
      </c>
      <c r="AV292">
        <f t="shared" si="13"/>
        <v>213866.26953125</v>
      </c>
      <c r="AW292">
        <f t="shared" si="14"/>
        <v>253048.087890625</v>
      </c>
      <c r="AX292">
        <f t="shared" si="15"/>
        <v>46744.90576171875</v>
      </c>
      <c r="AY292">
        <f t="shared" si="16"/>
        <v>150657</v>
      </c>
      <c r="AZ292">
        <f t="shared" si="17"/>
        <v>85355.0419921875</v>
      </c>
      <c r="BA292">
        <f t="shared" si="18"/>
        <v>82286.8828125</v>
      </c>
    </row>
    <row r="293" spans="1:53" x14ac:dyDescent="0.45">
      <c r="A293">
        <v>41</v>
      </c>
      <c r="B293">
        <v>67913.515625</v>
      </c>
      <c r="C293">
        <v>47861.02734375</v>
      </c>
      <c r="D293">
        <v>39122.140625</v>
      </c>
      <c r="E293">
        <v>60830.875</v>
      </c>
      <c r="F293">
        <v>95867.921875</v>
      </c>
      <c r="G293">
        <v>52614.3359375</v>
      </c>
      <c r="H293">
        <v>150663.34375</v>
      </c>
      <c r="I293">
        <v>138153.25</v>
      </c>
      <c r="J293">
        <v>150827.09375</v>
      </c>
      <c r="K293">
        <v>182477.859375</v>
      </c>
      <c r="L293">
        <v>27118.421875</v>
      </c>
      <c r="M293">
        <v>117519.953125</v>
      </c>
      <c r="N293">
        <v>55291.6015625</v>
      </c>
      <c r="O293">
        <v>53915.4140625</v>
      </c>
      <c r="U293" s="2">
        <v>0.85416666666666663</v>
      </c>
      <c r="V293">
        <v>67913.515625</v>
      </c>
      <c r="W293">
        <v>47861.02734375</v>
      </c>
      <c r="X293">
        <v>39122.140625</v>
      </c>
      <c r="Y293">
        <v>60830.875</v>
      </c>
      <c r="Z293">
        <v>95867.921875</v>
      </c>
      <c r="AA293">
        <v>52614.3359375</v>
      </c>
      <c r="AB293">
        <v>150663.34375</v>
      </c>
      <c r="AC293">
        <v>138153.25</v>
      </c>
      <c r="AD293">
        <v>150827.09375</v>
      </c>
      <c r="AE293">
        <v>182477.859375</v>
      </c>
      <c r="AF293">
        <v>27118.421875</v>
      </c>
      <c r="AG293">
        <v>117519.953125</v>
      </c>
      <c r="AH293">
        <v>55291.6015625</v>
      </c>
      <c r="AI293">
        <v>53915.4140625</v>
      </c>
      <c r="AK293">
        <f t="shared" si="1"/>
        <v>1240176.75390625</v>
      </c>
      <c r="AM293" s="2">
        <v>0.83333333333333337</v>
      </c>
      <c r="AN293">
        <f t="shared" si="2"/>
        <v>94743.4482421875</v>
      </c>
      <c r="AO293">
        <f t="shared" si="6"/>
        <v>63537.974609375</v>
      </c>
      <c r="AP293">
        <f t="shared" si="7"/>
        <v>63520.4736328125</v>
      </c>
      <c r="AQ293">
        <f t="shared" si="8"/>
        <v>89779.2294921875</v>
      </c>
      <c r="AR293">
        <f t="shared" si="9"/>
        <v>131535.302734375</v>
      </c>
      <c r="AS293">
        <f t="shared" si="10"/>
        <v>62308.8955078125</v>
      </c>
      <c r="AT293">
        <f t="shared" si="11"/>
        <v>217606.484375</v>
      </c>
      <c r="AU293">
        <f t="shared" si="12"/>
        <v>198400.658203125</v>
      </c>
      <c r="AV293">
        <f t="shared" si="13"/>
        <v>219989.296875</v>
      </c>
      <c r="AW293">
        <f t="shared" si="14"/>
        <v>254043.55859375</v>
      </c>
      <c r="AX293">
        <f t="shared" si="15"/>
        <v>48144.9130859375</v>
      </c>
      <c r="AY293">
        <f t="shared" si="16"/>
        <v>154415.341796875</v>
      </c>
      <c r="AZ293">
        <f t="shared" si="17"/>
        <v>82267.935546875</v>
      </c>
      <c r="BA293">
        <f t="shared" si="18"/>
        <v>83453.9560546875</v>
      </c>
    </row>
    <row r="294" spans="1:53" x14ac:dyDescent="0.45">
      <c r="A294">
        <v>42</v>
      </c>
      <c r="B294">
        <v>73027.5390625</v>
      </c>
      <c r="C294">
        <v>52568.421875</v>
      </c>
      <c r="D294">
        <v>40782.6796875</v>
      </c>
      <c r="E294">
        <v>55313.796875</v>
      </c>
      <c r="F294">
        <v>106913.8671875</v>
      </c>
      <c r="G294">
        <v>45384.515625</v>
      </c>
      <c r="H294">
        <v>162973.171875</v>
      </c>
      <c r="I294">
        <v>128971.921875</v>
      </c>
      <c r="J294">
        <v>159265.984375</v>
      </c>
      <c r="K294">
        <v>174821.265625</v>
      </c>
      <c r="L294">
        <v>35043.125</v>
      </c>
      <c r="M294">
        <v>114715.2890625</v>
      </c>
      <c r="N294">
        <v>49487.4921875</v>
      </c>
      <c r="O294">
        <v>52235.6875</v>
      </c>
      <c r="U294" s="2">
        <v>0.875</v>
      </c>
      <c r="V294">
        <v>73027.5390625</v>
      </c>
      <c r="W294">
        <v>52568.421875</v>
      </c>
      <c r="X294">
        <v>40782.6796875</v>
      </c>
      <c r="Y294">
        <v>55313.796875</v>
      </c>
      <c r="Z294">
        <v>106913.8671875</v>
      </c>
      <c r="AA294">
        <v>45384.515625</v>
      </c>
      <c r="AB294">
        <v>162973.171875</v>
      </c>
      <c r="AC294">
        <v>128971.921875</v>
      </c>
      <c r="AD294">
        <v>159265.984375</v>
      </c>
      <c r="AE294">
        <v>174821.265625</v>
      </c>
      <c r="AF294">
        <v>35043.125</v>
      </c>
      <c r="AG294">
        <v>114715.2890625</v>
      </c>
      <c r="AH294">
        <v>49487.4921875</v>
      </c>
      <c r="AI294">
        <v>52235.6875</v>
      </c>
      <c r="AK294">
        <f t="shared" si="1"/>
        <v>1251504.7578125</v>
      </c>
      <c r="AM294" s="2">
        <v>0.85416666666666663</v>
      </c>
      <c r="AN294">
        <f t="shared" si="2"/>
        <v>97518.9267578125</v>
      </c>
      <c r="AO294">
        <f t="shared" si="6"/>
        <v>62347.7001953125</v>
      </c>
      <c r="AP294">
        <f t="shared" si="7"/>
        <v>61701.533203125</v>
      </c>
      <c r="AQ294">
        <f t="shared" si="8"/>
        <v>88880.103515625</v>
      </c>
      <c r="AR294">
        <f t="shared" si="9"/>
        <v>133319.013671875</v>
      </c>
      <c r="AS294">
        <f t="shared" si="10"/>
        <v>61867.484375</v>
      </c>
      <c r="AT294">
        <f t="shared" si="11"/>
        <v>219487.791015625</v>
      </c>
      <c r="AU294">
        <f t="shared" si="12"/>
        <v>201639.986328125</v>
      </c>
      <c r="AV294">
        <f t="shared" si="13"/>
        <v>219029.26171875</v>
      </c>
      <c r="AW294">
        <f t="shared" si="14"/>
        <v>260726.97265625</v>
      </c>
      <c r="AX294">
        <f t="shared" si="15"/>
        <v>46913.201171875</v>
      </c>
      <c r="AY294">
        <f t="shared" si="16"/>
        <v>156041.4140625</v>
      </c>
      <c r="AZ294">
        <f t="shared" si="17"/>
        <v>85057.9033203125</v>
      </c>
      <c r="BA294">
        <f t="shared" si="18"/>
        <v>87108.40234375</v>
      </c>
    </row>
    <row r="295" spans="1:53" x14ac:dyDescent="0.45">
      <c r="A295">
        <v>43</v>
      </c>
      <c r="B295">
        <v>69277.40625</v>
      </c>
      <c r="C295">
        <v>49031.453125</v>
      </c>
      <c r="D295">
        <v>38642.109375</v>
      </c>
      <c r="E295">
        <v>54771.19921875</v>
      </c>
      <c r="F295">
        <v>100757.140625</v>
      </c>
      <c r="G295">
        <v>42582.23046875</v>
      </c>
      <c r="H295">
        <v>153888.859375</v>
      </c>
      <c r="I295">
        <v>127385.5390625</v>
      </c>
      <c r="J295">
        <v>151615.1875</v>
      </c>
      <c r="K295">
        <v>171692.5</v>
      </c>
      <c r="L295">
        <v>32788.3203125</v>
      </c>
      <c r="M295">
        <v>108881.0546875</v>
      </c>
      <c r="N295">
        <v>50696.44921875</v>
      </c>
      <c r="O295">
        <v>53263.15625</v>
      </c>
      <c r="U295" s="2">
        <v>0.89583333333333337</v>
      </c>
      <c r="V295">
        <v>69277.40625</v>
      </c>
      <c r="W295">
        <v>49031.453125</v>
      </c>
      <c r="X295">
        <v>38642.109375</v>
      </c>
      <c r="Y295">
        <v>54771.19921875</v>
      </c>
      <c r="Z295">
        <v>100757.140625</v>
      </c>
      <c r="AA295">
        <v>42582.23046875</v>
      </c>
      <c r="AB295">
        <v>153888.859375</v>
      </c>
      <c r="AC295">
        <v>127385.5390625</v>
      </c>
      <c r="AD295">
        <v>151615.1875</v>
      </c>
      <c r="AE295">
        <v>171692.5</v>
      </c>
      <c r="AF295">
        <v>32788.3203125</v>
      </c>
      <c r="AG295">
        <v>108881.0546875</v>
      </c>
      <c r="AH295">
        <v>50696.44921875</v>
      </c>
      <c r="AI295">
        <v>53263.15625</v>
      </c>
      <c r="AK295">
        <f t="shared" si="1"/>
        <v>1205272.60546875</v>
      </c>
      <c r="AM295" s="2">
        <v>0.875</v>
      </c>
      <c r="AN295">
        <f t="shared" si="2"/>
        <v>100115.6044921875</v>
      </c>
      <c r="AO295">
        <f t="shared" si="6"/>
        <v>59583.5869140625</v>
      </c>
      <c r="AP295">
        <f t="shared" si="7"/>
        <v>60668.5087890625</v>
      </c>
      <c r="AQ295">
        <f t="shared" si="8"/>
        <v>88767.9111328125</v>
      </c>
      <c r="AR295">
        <f t="shared" si="9"/>
        <v>133399.30859375</v>
      </c>
      <c r="AS295">
        <f t="shared" si="10"/>
        <v>61337.2822265625</v>
      </c>
      <c r="AT295">
        <f t="shared" si="11"/>
        <v>216782.98046875</v>
      </c>
      <c r="AU295">
        <f t="shared" si="12"/>
        <v>202205.193359375</v>
      </c>
      <c r="AV295">
        <f t="shared" si="13"/>
        <v>215990.140625</v>
      </c>
      <c r="AW295">
        <f t="shared" si="14"/>
        <v>261739.3515625</v>
      </c>
      <c r="AX295">
        <f t="shared" si="15"/>
        <v>48486.1025390625</v>
      </c>
      <c r="AY295">
        <f t="shared" si="16"/>
        <v>151477.0703125</v>
      </c>
      <c r="AZ295">
        <f t="shared" si="17"/>
        <v>87693.60546875</v>
      </c>
      <c r="BA295">
        <f t="shared" si="18"/>
        <v>88772.0498046875</v>
      </c>
    </row>
    <row r="296" spans="1:53" x14ac:dyDescent="0.45">
      <c r="A296">
        <v>44</v>
      </c>
      <c r="B296">
        <v>83099.0546875</v>
      </c>
      <c r="C296">
        <v>43836.2890625</v>
      </c>
      <c r="D296">
        <v>40095.87109375</v>
      </c>
      <c r="E296">
        <v>53719.02734375</v>
      </c>
      <c r="F296">
        <v>111720.125</v>
      </c>
      <c r="G296">
        <v>45886.796875</v>
      </c>
      <c r="H296">
        <v>163343.4375</v>
      </c>
      <c r="I296">
        <v>126725.1171875</v>
      </c>
      <c r="J296">
        <v>161779.53125</v>
      </c>
      <c r="K296">
        <v>185271.546875</v>
      </c>
      <c r="L296">
        <v>28686.919921875</v>
      </c>
      <c r="M296">
        <v>109901.296875</v>
      </c>
      <c r="N296">
        <v>47003.4921875</v>
      </c>
      <c r="O296">
        <v>49577.91796875</v>
      </c>
      <c r="U296" s="2">
        <v>0.91666666666666663</v>
      </c>
      <c r="V296">
        <v>83099.0546875</v>
      </c>
      <c r="W296">
        <v>43836.2890625</v>
      </c>
      <c r="X296">
        <v>40095.87109375</v>
      </c>
      <c r="Y296">
        <v>53719.02734375</v>
      </c>
      <c r="Z296">
        <v>111720.125</v>
      </c>
      <c r="AA296">
        <v>45886.796875</v>
      </c>
      <c r="AB296">
        <v>163343.4375</v>
      </c>
      <c r="AC296">
        <v>126725.1171875</v>
      </c>
      <c r="AD296">
        <v>161779.53125</v>
      </c>
      <c r="AE296">
        <v>185271.546875</v>
      </c>
      <c r="AF296">
        <v>28686.919921875</v>
      </c>
      <c r="AG296">
        <v>109901.296875</v>
      </c>
      <c r="AH296">
        <v>47003.4921875</v>
      </c>
      <c r="AI296">
        <v>49577.91796875</v>
      </c>
      <c r="AK296">
        <f t="shared" si="1"/>
        <v>1250646.423828125</v>
      </c>
      <c r="AM296" s="2">
        <v>0.89583333333333337</v>
      </c>
      <c r="AN296">
        <f t="shared" si="2"/>
        <v>93306.1982421875</v>
      </c>
      <c r="AO296">
        <f t="shared" si="6"/>
        <v>58750.30615234375</v>
      </c>
      <c r="AP296">
        <f t="shared" si="7"/>
        <v>56827.33642578125</v>
      </c>
      <c r="AQ296">
        <f t="shared" si="8"/>
        <v>82459.0556640625</v>
      </c>
      <c r="AR296">
        <f t="shared" si="9"/>
        <v>129296.34375</v>
      </c>
      <c r="AS296">
        <f t="shared" si="10"/>
        <v>57553.21826171875</v>
      </c>
      <c r="AT296">
        <f t="shared" si="11"/>
        <v>206751.59765625</v>
      </c>
      <c r="AU296">
        <f t="shared" si="12"/>
        <v>189319.13671875</v>
      </c>
      <c r="AV296">
        <f t="shared" si="13"/>
        <v>205679.212890625</v>
      </c>
      <c r="AW296">
        <f t="shared" si="14"/>
        <v>247217.734375</v>
      </c>
      <c r="AX296">
        <f t="shared" si="15"/>
        <v>46972.4208984375</v>
      </c>
      <c r="AY296">
        <f t="shared" si="16"/>
        <v>141170.80859375</v>
      </c>
      <c r="AZ296">
        <f t="shared" si="17"/>
        <v>81575.6806640625</v>
      </c>
      <c r="BA296">
        <f t="shared" si="18"/>
        <v>82944.1201171875</v>
      </c>
    </row>
    <row r="297" spans="1:53" x14ac:dyDescent="0.45">
      <c r="A297">
        <v>45</v>
      </c>
      <c r="B297">
        <v>74450.640625</v>
      </c>
      <c r="C297">
        <v>43728.03125</v>
      </c>
      <c r="D297">
        <v>38015.46875</v>
      </c>
      <c r="E297">
        <v>50639.62109375</v>
      </c>
      <c r="F297">
        <v>104856.4921875</v>
      </c>
      <c r="G297">
        <v>40007.86328125</v>
      </c>
      <c r="H297">
        <v>151779.625</v>
      </c>
      <c r="I297">
        <v>116811.7421875</v>
      </c>
      <c r="J297">
        <v>152502.734375</v>
      </c>
      <c r="K297">
        <v>164056.234375</v>
      </c>
      <c r="L297">
        <v>33062.3203125</v>
      </c>
      <c r="M297">
        <v>100464.09375</v>
      </c>
      <c r="N297">
        <v>42339.2890625</v>
      </c>
      <c r="O297">
        <v>46163.55859375</v>
      </c>
      <c r="U297" s="2">
        <v>0.9375</v>
      </c>
      <c r="V297">
        <v>74450.640625</v>
      </c>
      <c r="W297">
        <v>43728.03125</v>
      </c>
      <c r="X297">
        <v>38015.46875</v>
      </c>
      <c r="Y297">
        <v>50639.62109375</v>
      </c>
      <c r="Z297">
        <v>104856.4921875</v>
      </c>
      <c r="AA297">
        <v>40007.86328125</v>
      </c>
      <c r="AB297">
        <v>151779.625</v>
      </c>
      <c r="AC297">
        <v>116811.7421875</v>
      </c>
      <c r="AD297">
        <v>152502.734375</v>
      </c>
      <c r="AE297">
        <v>164056.234375</v>
      </c>
      <c r="AF297">
        <v>33062.3203125</v>
      </c>
      <c r="AG297">
        <v>100464.09375</v>
      </c>
      <c r="AH297">
        <v>42339.2890625</v>
      </c>
      <c r="AI297">
        <v>46163.55859375</v>
      </c>
      <c r="AK297">
        <f t="shared" si="1"/>
        <v>1158877.71484375</v>
      </c>
      <c r="AM297" s="2">
        <v>0.91666666666666663</v>
      </c>
      <c r="AN297">
        <f t="shared" si="2"/>
        <v>86388.1455078125</v>
      </c>
      <c r="AO297">
        <f t="shared" si="6"/>
        <v>52666.29931640625</v>
      </c>
      <c r="AP297">
        <f t="shared" si="7"/>
        <v>51055.58251953125</v>
      </c>
      <c r="AQ297">
        <f t="shared" si="8"/>
        <v>79342.2109375</v>
      </c>
      <c r="AR297">
        <f t="shared" si="9"/>
        <v>117451.0234375</v>
      </c>
      <c r="AS297">
        <f t="shared" si="10"/>
        <v>57284.6455078125</v>
      </c>
      <c r="AT297">
        <f t="shared" si="11"/>
        <v>190923.076171875</v>
      </c>
      <c r="AU297">
        <f t="shared" si="12"/>
        <v>182224.033203125</v>
      </c>
      <c r="AV297">
        <f t="shared" si="13"/>
        <v>192850.54296875</v>
      </c>
      <c r="AW297">
        <f t="shared" si="14"/>
        <v>238156.92578125</v>
      </c>
      <c r="AX297">
        <f t="shared" si="15"/>
        <v>43760.12939453125</v>
      </c>
      <c r="AY297">
        <f t="shared" si="16"/>
        <v>133169.107421875</v>
      </c>
      <c r="AZ297">
        <f t="shared" si="17"/>
        <v>75261.244140625</v>
      </c>
      <c r="BA297">
        <f t="shared" si="18"/>
        <v>78348.8115234375</v>
      </c>
    </row>
    <row r="298" spans="1:53" x14ac:dyDescent="0.45">
      <c r="A298">
        <v>46</v>
      </c>
      <c r="B298">
        <v>61016.421875</v>
      </c>
      <c r="C298">
        <v>34720.90234375</v>
      </c>
      <c r="D298">
        <v>34418.59375</v>
      </c>
      <c r="E298">
        <v>54712.94921875</v>
      </c>
      <c r="F298">
        <v>82257.296875</v>
      </c>
      <c r="G298">
        <v>34348.7734375</v>
      </c>
      <c r="H298">
        <v>128100.015625</v>
      </c>
      <c r="I298">
        <v>109699.15625</v>
      </c>
      <c r="J298">
        <v>131052.078125</v>
      </c>
      <c r="K298">
        <v>150661.65625</v>
      </c>
      <c r="L298">
        <v>28098.78125</v>
      </c>
      <c r="M298">
        <v>84581.28125</v>
      </c>
      <c r="N298">
        <v>44468.890625</v>
      </c>
      <c r="O298">
        <v>43233.94921875</v>
      </c>
      <c r="U298" s="2">
        <v>0.95833333333333337</v>
      </c>
      <c r="V298">
        <v>61016.421875</v>
      </c>
      <c r="W298">
        <v>34720.90234375</v>
      </c>
      <c r="X298">
        <v>34418.59375</v>
      </c>
      <c r="Y298">
        <v>54712.94921875</v>
      </c>
      <c r="Z298">
        <v>82257.296875</v>
      </c>
      <c r="AA298">
        <v>34348.7734375</v>
      </c>
      <c r="AB298">
        <v>128100.015625</v>
      </c>
      <c r="AC298">
        <v>109699.15625</v>
      </c>
      <c r="AD298">
        <v>131052.078125</v>
      </c>
      <c r="AE298">
        <v>150661.65625</v>
      </c>
      <c r="AF298">
        <v>28098.78125</v>
      </c>
      <c r="AG298">
        <v>84581.28125</v>
      </c>
      <c r="AH298">
        <v>44468.890625</v>
      </c>
      <c r="AI298">
        <v>43233.94921875</v>
      </c>
      <c r="AK298">
        <f t="shared" si="1"/>
        <v>1021370.74609375</v>
      </c>
      <c r="AM298" s="2">
        <v>0.9375</v>
      </c>
      <c r="AN298">
        <f t="shared" si="2"/>
        <v>81182.4619140625</v>
      </c>
      <c r="AO298">
        <f t="shared" si="6"/>
        <v>47627.91357421875</v>
      </c>
      <c r="AP298">
        <f t="shared" si="7"/>
        <v>46857.55712890625</v>
      </c>
      <c r="AQ298">
        <f t="shared" si="8"/>
        <v>74391.64453125</v>
      </c>
      <c r="AR298">
        <f t="shared" si="9"/>
        <v>111406.734375</v>
      </c>
      <c r="AS298">
        <f t="shared" si="10"/>
        <v>50989.54443359375</v>
      </c>
      <c r="AT298">
        <f t="shared" si="11"/>
        <v>174772.12890625</v>
      </c>
      <c r="AU298">
        <f t="shared" si="12"/>
        <v>164299.76953125</v>
      </c>
      <c r="AV298">
        <f t="shared" si="13"/>
        <v>181076.15625</v>
      </c>
      <c r="AW298">
        <f t="shared" si="14"/>
        <v>220867.091796875</v>
      </c>
      <c r="AX298">
        <f t="shared" si="15"/>
        <v>39210.013671875</v>
      </c>
      <c r="AY298">
        <f t="shared" si="16"/>
        <v>118846.69921875</v>
      </c>
      <c r="AZ298">
        <f t="shared" si="17"/>
        <v>68234.3203125</v>
      </c>
      <c r="BA298">
        <f t="shared" si="18"/>
        <v>70538.5390625</v>
      </c>
    </row>
    <row r="299" spans="1:53" x14ac:dyDescent="0.45">
      <c r="A299">
        <v>47</v>
      </c>
      <c r="B299">
        <v>49661.7421875</v>
      </c>
      <c r="C299">
        <v>34372.21875</v>
      </c>
      <c r="D299">
        <v>31317.61328125</v>
      </c>
      <c r="E299">
        <v>52322.2109375</v>
      </c>
      <c r="F299">
        <v>69714.5078125</v>
      </c>
      <c r="G299">
        <v>25723.134765625</v>
      </c>
      <c r="H299">
        <v>111738.265625</v>
      </c>
      <c r="I299">
        <v>95776.1953125</v>
      </c>
      <c r="J299">
        <v>112994.5</v>
      </c>
      <c r="K299">
        <v>124366.609375</v>
      </c>
      <c r="L299">
        <v>32182.05078125</v>
      </c>
      <c r="M299">
        <v>67321.734375</v>
      </c>
      <c r="N299">
        <v>40447.90625</v>
      </c>
      <c r="O299">
        <v>36281.7109375</v>
      </c>
      <c r="U299" s="2">
        <v>0.97916666666666663</v>
      </c>
      <c r="V299">
        <v>49661.7421875</v>
      </c>
      <c r="W299">
        <v>34372.21875</v>
      </c>
      <c r="X299">
        <v>31317.61328125</v>
      </c>
      <c r="Y299">
        <v>52322.2109375</v>
      </c>
      <c r="Z299">
        <v>69714.5078125</v>
      </c>
      <c r="AA299">
        <v>25723.134765625</v>
      </c>
      <c r="AB299">
        <v>111738.265625</v>
      </c>
      <c r="AC299">
        <v>95776.1953125</v>
      </c>
      <c r="AD299">
        <v>112994.5</v>
      </c>
      <c r="AE299">
        <v>124366.609375</v>
      </c>
      <c r="AF299">
        <v>32182.05078125</v>
      </c>
      <c r="AG299">
        <v>67321.734375</v>
      </c>
      <c r="AH299">
        <v>40447.90625</v>
      </c>
      <c r="AI299">
        <v>36281.7109375</v>
      </c>
      <c r="AK299">
        <f t="shared" si="1"/>
        <v>884220.400390625</v>
      </c>
      <c r="AM299" s="2">
        <v>0.95833333333333337</v>
      </c>
      <c r="AN299">
        <f t="shared" si="2"/>
        <v>73814.8193359375</v>
      </c>
      <c r="AO299">
        <f t="shared" si="6"/>
        <v>42974.43359375</v>
      </c>
      <c r="AP299">
        <f t="shared" si="7"/>
        <v>42475.021484375</v>
      </c>
      <c r="AQ299">
        <f t="shared" si="8"/>
        <v>75160.87109375</v>
      </c>
      <c r="AR299">
        <f t="shared" si="9"/>
        <v>99909.9306640625</v>
      </c>
      <c r="AS299">
        <f t="shared" si="10"/>
        <v>45228.00732421875</v>
      </c>
      <c r="AT299">
        <f t="shared" si="11"/>
        <v>159086.599609375</v>
      </c>
      <c r="AU299">
        <f t="shared" si="12"/>
        <v>157038.994140625</v>
      </c>
      <c r="AV299">
        <f t="shared" si="13"/>
        <v>166900.794921875</v>
      </c>
      <c r="AW299">
        <f t="shared" si="14"/>
        <v>210979.009765625</v>
      </c>
      <c r="AX299">
        <f t="shared" si="15"/>
        <v>34327.08837890625</v>
      </c>
      <c r="AY299">
        <f t="shared" si="16"/>
        <v>105606.0927734375</v>
      </c>
      <c r="AZ299">
        <f t="shared" si="17"/>
        <v>70121.0009765625</v>
      </c>
      <c r="BA299">
        <f t="shared" si="18"/>
        <v>67878.5986328125</v>
      </c>
    </row>
    <row r="300" spans="1:53" x14ac:dyDescent="0.45">
      <c r="A300">
        <v>48</v>
      </c>
      <c r="B300">
        <v>44382.77734375</v>
      </c>
      <c r="C300">
        <v>30344.947265625</v>
      </c>
      <c r="D300">
        <v>28734.80859375</v>
      </c>
      <c r="E300">
        <v>44302.13671875</v>
      </c>
      <c r="F300">
        <v>58928.98046875</v>
      </c>
      <c r="G300">
        <v>24820.919921875</v>
      </c>
      <c r="H300">
        <v>100986.96875</v>
      </c>
      <c r="I300">
        <v>84672.1640625</v>
      </c>
      <c r="J300">
        <v>101302.3125</v>
      </c>
      <c r="K300">
        <v>110793.9609375</v>
      </c>
      <c r="L300">
        <v>26660.33203125</v>
      </c>
      <c r="M300">
        <v>63650.3828125</v>
      </c>
      <c r="N300">
        <v>33798.24609375</v>
      </c>
      <c r="O300">
        <v>33910.859375</v>
      </c>
      <c r="U300" s="2">
        <v>0</v>
      </c>
      <c r="V300">
        <v>44382.77734375</v>
      </c>
      <c r="W300">
        <v>30344.947265625</v>
      </c>
      <c r="X300">
        <v>28734.80859375</v>
      </c>
      <c r="Y300">
        <v>44302.13671875</v>
      </c>
      <c r="Z300">
        <v>58928.98046875</v>
      </c>
      <c r="AA300">
        <v>24820.919921875</v>
      </c>
      <c r="AB300">
        <v>100986.96875</v>
      </c>
      <c r="AC300">
        <v>84672.1640625</v>
      </c>
      <c r="AD300">
        <v>101302.3125</v>
      </c>
      <c r="AE300">
        <v>110793.9609375</v>
      </c>
      <c r="AF300">
        <v>26660.33203125</v>
      </c>
      <c r="AG300">
        <v>63650.3828125</v>
      </c>
      <c r="AH300">
        <v>33798.24609375</v>
      </c>
      <c r="AI300">
        <v>33910.859375</v>
      </c>
      <c r="AK300">
        <f t="shared" si="1"/>
        <v>787289.796875</v>
      </c>
      <c r="AM300" s="2">
        <v>0.97916666666666663</v>
      </c>
      <c r="AN300">
        <f t="shared" si="2"/>
        <v>61594.2412109375</v>
      </c>
      <c r="AO300">
        <f t="shared" si="6"/>
        <v>42158.75244140625</v>
      </c>
      <c r="AP300">
        <f t="shared" si="7"/>
        <v>40151.576171875</v>
      </c>
      <c r="AQ300">
        <f t="shared" si="8"/>
        <v>68927.1171875</v>
      </c>
      <c r="AR300">
        <f t="shared" si="9"/>
        <v>90163.3466796875</v>
      </c>
      <c r="AS300">
        <f t="shared" si="10"/>
        <v>39433.75048828125</v>
      </c>
      <c r="AT300">
        <f t="shared" si="11"/>
        <v>143910.78125</v>
      </c>
      <c r="AU300">
        <f t="shared" si="12"/>
        <v>136861.291015625</v>
      </c>
      <c r="AV300">
        <f t="shared" si="13"/>
        <v>151578.24609375</v>
      </c>
      <c r="AW300">
        <f t="shared" si="14"/>
        <v>180043.822265625</v>
      </c>
      <c r="AX300">
        <f t="shared" si="15"/>
        <v>33353.90478515625</v>
      </c>
      <c r="AY300">
        <f t="shared" si="16"/>
        <v>96957.7802734375</v>
      </c>
      <c r="AZ300">
        <f t="shared" si="17"/>
        <v>57667.76220703125</v>
      </c>
      <c r="BA300">
        <f t="shared" si="18"/>
        <v>55378.35888671875</v>
      </c>
    </row>
    <row r="301" spans="1:53" x14ac:dyDescent="0.45">
      <c r="A301">
        <v>49</v>
      </c>
      <c r="B301">
        <v>47060.5390625</v>
      </c>
      <c r="C301">
        <v>27296.84375</v>
      </c>
      <c r="D301">
        <v>24540.0078125</v>
      </c>
      <c r="E301">
        <v>48208.828125</v>
      </c>
      <c r="F301">
        <v>52329.7421875</v>
      </c>
      <c r="G301">
        <v>27887.14453125</v>
      </c>
      <c r="H301">
        <v>96305.9921875</v>
      </c>
      <c r="I301">
        <v>80966.8828125</v>
      </c>
      <c r="J301">
        <v>97395.59375</v>
      </c>
      <c r="K301">
        <v>110755.671875</v>
      </c>
      <c r="L301">
        <v>24056.216796875</v>
      </c>
      <c r="M301">
        <v>60621.5390625</v>
      </c>
      <c r="N301">
        <v>31301.5859375</v>
      </c>
      <c r="O301">
        <v>28879.30859375</v>
      </c>
      <c r="U301" s="2">
        <v>2.0833333333333332E-2</v>
      </c>
      <c r="V301">
        <v>47060.5390625</v>
      </c>
      <c r="W301">
        <v>27296.84375</v>
      </c>
      <c r="X301">
        <v>24540.0078125</v>
      </c>
      <c r="Y301">
        <v>48208.828125</v>
      </c>
      <c r="Z301">
        <v>52329.7421875</v>
      </c>
      <c r="AA301">
        <v>27887.14453125</v>
      </c>
      <c r="AB301">
        <v>96305.9921875</v>
      </c>
      <c r="AC301">
        <v>80966.8828125</v>
      </c>
      <c r="AD301">
        <v>97395.59375</v>
      </c>
      <c r="AE301">
        <v>110755.671875</v>
      </c>
      <c r="AF301">
        <v>24056.216796875</v>
      </c>
      <c r="AG301">
        <v>60621.5390625</v>
      </c>
      <c r="AH301">
        <v>31301.5859375</v>
      </c>
      <c r="AI301">
        <v>28879.30859375</v>
      </c>
      <c r="AK301">
        <f t="shared" si="1"/>
        <v>757605.896484375</v>
      </c>
      <c r="AM301" s="2"/>
    </row>
    <row r="302" spans="1:53" x14ac:dyDescent="0.45">
      <c r="A302">
        <v>50</v>
      </c>
      <c r="B302">
        <v>44244.55078125</v>
      </c>
      <c r="C302">
        <v>22218.744140625</v>
      </c>
      <c r="D302">
        <v>23031.265625</v>
      </c>
      <c r="E302">
        <v>40716.5859375</v>
      </c>
      <c r="F302">
        <v>48244.84375</v>
      </c>
      <c r="G302">
        <v>27167.353515625</v>
      </c>
      <c r="H302">
        <v>86854.265625</v>
      </c>
      <c r="I302">
        <v>75278.8828125</v>
      </c>
      <c r="J302">
        <v>85492.9453125</v>
      </c>
      <c r="K302">
        <v>101386.1328125</v>
      </c>
      <c r="L302">
        <v>19189.9921875</v>
      </c>
      <c r="M302">
        <v>58035.71875</v>
      </c>
      <c r="N302">
        <v>27008.599609375</v>
      </c>
      <c r="O302">
        <v>25813.806640625</v>
      </c>
      <c r="U302" s="2">
        <v>4.1666666666666664E-2</v>
      </c>
      <c r="V302">
        <v>44244.55078125</v>
      </c>
      <c r="W302">
        <v>22218.744140625</v>
      </c>
      <c r="X302">
        <v>23031.265625</v>
      </c>
      <c r="Y302">
        <v>40716.5859375</v>
      </c>
      <c r="Z302">
        <v>48244.84375</v>
      </c>
      <c r="AA302">
        <v>27167.353515625</v>
      </c>
      <c r="AB302">
        <v>86854.265625</v>
      </c>
      <c r="AC302">
        <v>75278.8828125</v>
      </c>
      <c r="AD302">
        <v>85492.9453125</v>
      </c>
      <c r="AE302">
        <v>101386.1328125</v>
      </c>
      <c r="AF302">
        <v>19189.9921875</v>
      </c>
      <c r="AG302">
        <v>58035.71875</v>
      </c>
      <c r="AH302">
        <v>27008.599609375</v>
      </c>
      <c r="AI302">
        <v>25813.806640625</v>
      </c>
      <c r="AK302">
        <f t="shared" si="1"/>
        <v>684683.6875</v>
      </c>
      <c r="AM302" s="2"/>
    </row>
    <row r="303" spans="1:53" x14ac:dyDescent="0.45">
      <c r="A303">
        <v>51</v>
      </c>
      <c r="B303">
        <v>37429.90625</v>
      </c>
      <c r="C303">
        <v>16422.611328125</v>
      </c>
      <c r="D303">
        <v>21518.255859375</v>
      </c>
      <c r="E303">
        <v>34889.2421875</v>
      </c>
      <c r="F303">
        <v>40822.734375</v>
      </c>
      <c r="G303">
        <v>22044.3046875</v>
      </c>
      <c r="H303">
        <v>74157.2578125</v>
      </c>
      <c r="I303">
        <v>69974.9921875</v>
      </c>
      <c r="J303">
        <v>73187.90625</v>
      </c>
      <c r="K303">
        <v>91698.0625</v>
      </c>
      <c r="L303">
        <v>15446.826171875</v>
      </c>
      <c r="M303">
        <v>48853.71484375</v>
      </c>
      <c r="N303">
        <v>27666.740234375</v>
      </c>
      <c r="O303">
        <v>27074.72265625</v>
      </c>
      <c r="U303" s="2">
        <v>6.25E-2</v>
      </c>
      <c r="V303">
        <v>37429.90625</v>
      </c>
      <c r="W303">
        <v>16422.611328125</v>
      </c>
      <c r="X303">
        <v>21518.255859375</v>
      </c>
      <c r="Y303">
        <v>34889.2421875</v>
      </c>
      <c r="Z303">
        <v>40822.734375</v>
      </c>
      <c r="AA303">
        <v>22044.3046875</v>
      </c>
      <c r="AB303">
        <v>74157.2578125</v>
      </c>
      <c r="AC303">
        <v>69974.9921875</v>
      </c>
      <c r="AD303">
        <v>73187.90625</v>
      </c>
      <c r="AE303">
        <v>91698.0625</v>
      </c>
      <c r="AF303">
        <v>15446.826171875</v>
      </c>
      <c r="AG303">
        <v>48853.71484375</v>
      </c>
      <c r="AH303">
        <v>27666.740234375</v>
      </c>
      <c r="AI303">
        <v>27074.72265625</v>
      </c>
      <c r="AK303">
        <f t="shared" si="1"/>
        <v>601187.27734375</v>
      </c>
      <c r="AM303" s="2"/>
    </row>
    <row r="304" spans="1:53" x14ac:dyDescent="0.45">
      <c r="A304">
        <v>52</v>
      </c>
      <c r="B304">
        <v>34307.96875</v>
      </c>
      <c r="C304">
        <v>16165.2255859375</v>
      </c>
      <c r="D304">
        <v>21228.38671875</v>
      </c>
      <c r="E304">
        <v>29367.095703125</v>
      </c>
      <c r="F304">
        <v>39572.24609375</v>
      </c>
      <c r="G304">
        <v>22188.228515625</v>
      </c>
      <c r="H304">
        <v>68948.5546875</v>
      </c>
      <c r="I304">
        <v>65294.26953125</v>
      </c>
      <c r="J304">
        <v>67637.578125</v>
      </c>
      <c r="K304">
        <v>83867.984375</v>
      </c>
      <c r="L304">
        <v>13624.9599609375</v>
      </c>
      <c r="M304">
        <v>50116.94921875</v>
      </c>
      <c r="N304">
        <v>22665.220703125</v>
      </c>
      <c r="O304">
        <v>24526.19921875</v>
      </c>
      <c r="U304" s="2">
        <v>8.3333333333333329E-2</v>
      </c>
      <c r="V304">
        <v>34307.96875</v>
      </c>
      <c r="W304">
        <v>16165.2255859375</v>
      </c>
      <c r="X304">
        <v>21228.38671875</v>
      </c>
      <c r="Y304">
        <v>29367.095703125</v>
      </c>
      <c r="Z304">
        <v>39572.24609375</v>
      </c>
      <c r="AA304">
        <v>22188.228515625</v>
      </c>
      <c r="AB304">
        <v>68948.5546875</v>
      </c>
      <c r="AC304">
        <v>65294.26953125</v>
      </c>
      <c r="AD304">
        <v>67637.578125</v>
      </c>
      <c r="AE304">
        <v>83867.984375</v>
      </c>
      <c r="AF304">
        <v>13624.9599609375</v>
      </c>
      <c r="AG304">
        <v>50116.94921875</v>
      </c>
      <c r="AH304">
        <v>22665.220703125</v>
      </c>
      <c r="AI304">
        <v>24526.19921875</v>
      </c>
      <c r="AK304">
        <f t="shared" si="1"/>
        <v>559510.8671875</v>
      </c>
      <c r="AM304" s="2"/>
    </row>
    <row r="305" spans="1:39" x14ac:dyDescent="0.45">
      <c r="A305">
        <v>53</v>
      </c>
      <c r="B305">
        <v>34475.50390625</v>
      </c>
      <c r="C305">
        <v>15258.1083984375</v>
      </c>
      <c r="D305">
        <v>21178.0546875</v>
      </c>
      <c r="E305">
        <v>30655.533203125</v>
      </c>
      <c r="F305">
        <v>38920.43359375</v>
      </c>
      <c r="G305">
        <v>25052.88671875</v>
      </c>
      <c r="H305">
        <v>70042.2109375</v>
      </c>
      <c r="I305">
        <v>70963.3046875</v>
      </c>
      <c r="J305">
        <v>68404.65625</v>
      </c>
      <c r="K305">
        <v>90899.734375</v>
      </c>
      <c r="L305">
        <v>13696.2734375</v>
      </c>
      <c r="M305">
        <v>55065.75390625</v>
      </c>
      <c r="N305">
        <v>23761.7890625</v>
      </c>
      <c r="O305">
        <v>27428.84375</v>
      </c>
      <c r="U305" s="2">
        <v>0.10416666666666667</v>
      </c>
      <c r="V305">
        <v>34475.50390625</v>
      </c>
      <c r="W305">
        <v>15258.1083984375</v>
      </c>
      <c r="X305">
        <v>21178.0546875</v>
      </c>
      <c r="Y305">
        <v>30655.533203125</v>
      </c>
      <c r="Z305">
        <v>38920.43359375</v>
      </c>
      <c r="AA305">
        <v>25052.88671875</v>
      </c>
      <c r="AB305">
        <v>70042.2109375</v>
      </c>
      <c r="AC305">
        <v>70963.3046875</v>
      </c>
      <c r="AD305">
        <v>68404.65625</v>
      </c>
      <c r="AE305">
        <v>90899.734375</v>
      </c>
      <c r="AF305">
        <v>13696.2734375</v>
      </c>
      <c r="AG305">
        <v>55065.75390625</v>
      </c>
      <c r="AH305">
        <v>23761.7890625</v>
      </c>
      <c r="AI305">
        <v>27428.84375</v>
      </c>
      <c r="AK305">
        <f t="shared" si="1"/>
        <v>585803.0869140625</v>
      </c>
      <c r="AM305" s="2"/>
    </row>
    <row r="306" spans="1:39" x14ac:dyDescent="0.45">
      <c r="A306">
        <v>54</v>
      </c>
      <c r="B306">
        <v>32897.29296875</v>
      </c>
      <c r="C306">
        <v>15478.857421875</v>
      </c>
      <c r="D306">
        <v>19757.392578125</v>
      </c>
      <c r="E306">
        <v>28235.044921875</v>
      </c>
      <c r="F306">
        <v>38053.3359375</v>
      </c>
      <c r="G306">
        <v>24442.798828125</v>
      </c>
      <c r="H306">
        <v>66101.0078125</v>
      </c>
      <c r="I306">
        <v>68084.296875</v>
      </c>
      <c r="J306">
        <v>65495.88671875</v>
      </c>
      <c r="K306">
        <v>86124.828125</v>
      </c>
      <c r="L306">
        <v>13458.2041015625</v>
      </c>
      <c r="M306">
        <v>54081.43359375</v>
      </c>
      <c r="N306">
        <v>20865.083984375</v>
      </c>
      <c r="O306">
        <v>25594.251953125</v>
      </c>
      <c r="U306" s="2">
        <v>0.125</v>
      </c>
      <c r="V306">
        <v>32897.29296875</v>
      </c>
      <c r="W306">
        <v>15478.857421875</v>
      </c>
      <c r="X306">
        <v>19757.392578125</v>
      </c>
      <c r="Y306">
        <v>28235.044921875</v>
      </c>
      <c r="Z306">
        <v>38053.3359375</v>
      </c>
      <c r="AA306">
        <v>24442.798828125</v>
      </c>
      <c r="AB306">
        <v>66101.0078125</v>
      </c>
      <c r="AC306">
        <v>68084.296875</v>
      </c>
      <c r="AD306">
        <v>65495.88671875</v>
      </c>
      <c r="AE306">
        <v>86124.828125</v>
      </c>
      <c r="AF306">
        <v>13458.2041015625</v>
      </c>
      <c r="AG306">
        <v>54081.43359375</v>
      </c>
      <c r="AH306">
        <v>20865.083984375</v>
      </c>
      <c r="AI306">
        <v>25594.251953125</v>
      </c>
      <c r="AK306">
        <f t="shared" si="1"/>
        <v>558669.7158203125</v>
      </c>
      <c r="AM306" s="2"/>
    </row>
    <row r="307" spans="1:39" x14ac:dyDescent="0.45">
      <c r="A307">
        <v>55</v>
      </c>
      <c r="B307">
        <v>33542.0390625</v>
      </c>
      <c r="C307">
        <v>15549.134765625</v>
      </c>
      <c r="D307">
        <v>19939.185546875</v>
      </c>
      <c r="E307">
        <v>31980.046875</v>
      </c>
      <c r="F307">
        <v>37709.1796875</v>
      </c>
      <c r="G307">
        <v>23828.455078125</v>
      </c>
      <c r="H307">
        <v>67029.34375</v>
      </c>
      <c r="I307">
        <v>70593.1328125</v>
      </c>
      <c r="J307">
        <v>67730.375</v>
      </c>
      <c r="K307">
        <v>89742.78125</v>
      </c>
      <c r="L307">
        <v>13512.23046875</v>
      </c>
      <c r="M307">
        <v>51790.69921875</v>
      </c>
      <c r="N307">
        <v>24906.025390625</v>
      </c>
      <c r="O307">
        <v>27354.818359375</v>
      </c>
      <c r="U307" s="2">
        <v>0.14583333333333334</v>
      </c>
      <c r="V307">
        <v>33542.0390625</v>
      </c>
      <c r="W307">
        <v>15549.134765625</v>
      </c>
      <c r="X307">
        <v>19939.185546875</v>
      </c>
      <c r="Y307">
        <v>31980.046875</v>
      </c>
      <c r="Z307">
        <v>37709.1796875</v>
      </c>
      <c r="AA307">
        <v>23828.455078125</v>
      </c>
      <c r="AB307">
        <v>67029.34375</v>
      </c>
      <c r="AC307">
        <v>70593.1328125</v>
      </c>
      <c r="AD307">
        <v>67730.375</v>
      </c>
      <c r="AE307">
        <v>89742.78125</v>
      </c>
      <c r="AF307">
        <v>13512.23046875</v>
      </c>
      <c r="AG307">
        <v>51790.69921875</v>
      </c>
      <c r="AH307">
        <v>24906.025390625</v>
      </c>
      <c r="AI307">
        <v>27354.818359375</v>
      </c>
      <c r="AK307">
        <f t="shared" si="1"/>
        <v>575207.447265625</v>
      </c>
      <c r="AM307" s="2"/>
    </row>
    <row r="308" spans="1:39" x14ac:dyDescent="0.45">
      <c r="A308">
        <v>56</v>
      </c>
      <c r="B308">
        <v>37402.078125</v>
      </c>
      <c r="C308">
        <v>14907.6845703125</v>
      </c>
      <c r="D308">
        <v>19747.685546875</v>
      </c>
      <c r="E308">
        <v>36679.50390625</v>
      </c>
      <c r="F308">
        <v>38333.85546875</v>
      </c>
      <c r="G308">
        <v>19219.6015625</v>
      </c>
      <c r="H308">
        <v>71501.0390625</v>
      </c>
      <c r="I308">
        <v>63399.44140625</v>
      </c>
      <c r="J308">
        <v>73646.2109375</v>
      </c>
      <c r="K308">
        <v>87644.828125</v>
      </c>
      <c r="L308">
        <v>13816.314453125</v>
      </c>
      <c r="M308">
        <v>46525.03515625</v>
      </c>
      <c r="N308">
        <v>21551.33203125</v>
      </c>
      <c r="O308">
        <v>23671.65234375</v>
      </c>
      <c r="U308" s="2">
        <v>0.16666666666666666</v>
      </c>
      <c r="V308">
        <v>37402.078125</v>
      </c>
      <c r="W308">
        <v>14907.6845703125</v>
      </c>
      <c r="X308">
        <v>19747.685546875</v>
      </c>
      <c r="Y308">
        <v>36679.50390625</v>
      </c>
      <c r="Z308">
        <v>38333.85546875</v>
      </c>
      <c r="AA308">
        <v>19219.6015625</v>
      </c>
      <c r="AB308">
        <v>71501.0390625</v>
      </c>
      <c r="AC308">
        <v>63399.44140625</v>
      </c>
      <c r="AD308">
        <v>73646.2109375</v>
      </c>
      <c r="AE308">
        <v>87644.828125</v>
      </c>
      <c r="AF308">
        <v>13816.314453125</v>
      </c>
      <c r="AG308">
        <v>46525.03515625</v>
      </c>
      <c r="AH308">
        <v>21551.33203125</v>
      </c>
      <c r="AI308">
        <v>23671.65234375</v>
      </c>
      <c r="AK308">
        <f t="shared" si="1"/>
        <v>568046.2626953125</v>
      </c>
      <c r="AM308" s="2"/>
    </row>
    <row r="309" spans="1:39" x14ac:dyDescent="0.45">
      <c r="A309">
        <v>57</v>
      </c>
      <c r="B309">
        <v>37075.89453125</v>
      </c>
      <c r="C309">
        <v>14986.880859375</v>
      </c>
      <c r="D309">
        <v>21780.978515625</v>
      </c>
      <c r="E309">
        <v>34080.54296875</v>
      </c>
      <c r="F309">
        <v>39674.109375</v>
      </c>
      <c r="G309">
        <v>18153.578125</v>
      </c>
      <c r="H309">
        <v>72598.9453125</v>
      </c>
      <c r="I309">
        <v>64725.09765625</v>
      </c>
      <c r="J309">
        <v>71861.53125</v>
      </c>
      <c r="K309">
        <v>85240.796875</v>
      </c>
      <c r="L309">
        <v>14492.53125</v>
      </c>
      <c r="M309">
        <v>49027.8203125</v>
      </c>
      <c r="N309">
        <v>22437.4765625</v>
      </c>
      <c r="O309">
        <v>25236.14453125</v>
      </c>
      <c r="U309" s="2">
        <v>0.1875</v>
      </c>
      <c r="V309">
        <v>37075.89453125</v>
      </c>
      <c r="W309">
        <v>14986.880859375</v>
      </c>
      <c r="X309">
        <v>21780.978515625</v>
      </c>
      <c r="Y309">
        <v>34080.54296875</v>
      </c>
      <c r="Z309">
        <v>39674.109375</v>
      </c>
      <c r="AA309">
        <v>18153.578125</v>
      </c>
      <c r="AB309">
        <v>72598.9453125</v>
      </c>
      <c r="AC309">
        <v>64725.09765625</v>
      </c>
      <c r="AD309">
        <v>71861.53125</v>
      </c>
      <c r="AE309">
        <v>85240.796875</v>
      </c>
      <c r="AF309">
        <v>14492.53125</v>
      </c>
      <c r="AG309">
        <v>49027.8203125</v>
      </c>
      <c r="AH309">
        <v>22437.4765625</v>
      </c>
      <c r="AI309">
        <v>25236.14453125</v>
      </c>
      <c r="AK309">
        <f t="shared" si="1"/>
        <v>571372.328125</v>
      </c>
      <c r="AM309" s="2"/>
    </row>
    <row r="310" spans="1:39" x14ac:dyDescent="0.45">
      <c r="A310">
        <v>58</v>
      </c>
      <c r="B310">
        <v>38158.0546875</v>
      </c>
      <c r="C310">
        <v>15178.7861328125</v>
      </c>
      <c r="D310">
        <v>19570.529296875</v>
      </c>
      <c r="E310">
        <v>35098.98828125</v>
      </c>
      <c r="F310">
        <v>37770.76953125</v>
      </c>
      <c r="G310">
        <v>18013.556640625</v>
      </c>
      <c r="H310">
        <v>72330.875</v>
      </c>
      <c r="I310">
        <v>62054.13671875</v>
      </c>
      <c r="J310">
        <v>71543.453125</v>
      </c>
      <c r="K310">
        <v>85848.9453125</v>
      </c>
      <c r="L310">
        <v>13544.232421875</v>
      </c>
      <c r="M310">
        <v>45614.703125</v>
      </c>
      <c r="N310">
        <v>21665.287109375</v>
      </c>
      <c r="O310">
        <v>23545.58984375</v>
      </c>
      <c r="U310" s="2">
        <v>0.20833333333333334</v>
      </c>
      <c r="V310">
        <v>38158.0546875</v>
      </c>
      <c r="W310">
        <v>15178.7861328125</v>
      </c>
      <c r="X310">
        <v>19570.529296875</v>
      </c>
      <c r="Y310">
        <v>35098.98828125</v>
      </c>
      <c r="Z310">
        <v>37770.76953125</v>
      </c>
      <c r="AA310">
        <v>18013.556640625</v>
      </c>
      <c r="AB310">
        <v>72330.875</v>
      </c>
      <c r="AC310">
        <v>62054.13671875</v>
      </c>
      <c r="AD310">
        <v>71543.453125</v>
      </c>
      <c r="AE310">
        <v>85848.9453125</v>
      </c>
      <c r="AF310">
        <v>13544.232421875</v>
      </c>
      <c r="AG310">
        <v>45614.703125</v>
      </c>
      <c r="AH310">
        <v>21665.287109375</v>
      </c>
      <c r="AI310">
        <v>23545.58984375</v>
      </c>
      <c r="AK310">
        <f t="shared" si="1"/>
        <v>559937.9072265625</v>
      </c>
      <c r="AM310" s="2"/>
    </row>
    <row r="311" spans="1:39" x14ac:dyDescent="0.45">
      <c r="A311">
        <v>59</v>
      </c>
      <c r="B311">
        <v>36710.78125</v>
      </c>
      <c r="C311">
        <v>16917.568359375</v>
      </c>
      <c r="D311">
        <v>18260.41796875</v>
      </c>
      <c r="E311">
        <v>34450.7421875</v>
      </c>
      <c r="F311">
        <v>39945.70703125</v>
      </c>
      <c r="G311">
        <v>18121.56640625</v>
      </c>
      <c r="H311">
        <v>71688.71875</v>
      </c>
      <c r="I311">
        <v>60613.640625</v>
      </c>
      <c r="J311">
        <v>72659.7578125</v>
      </c>
      <c r="K311">
        <v>84784.6875</v>
      </c>
      <c r="L311">
        <v>14924.6630859375</v>
      </c>
      <c r="M311">
        <v>44751.73828125</v>
      </c>
      <c r="N311">
        <v>22111.40625</v>
      </c>
      <c r="O311">
        <v>23893.8671875</v>
      </c>
      <c r="U311" s="2">
        <v>0.22916666666666666</v>
      </c>
      <c r="V311">
        <v>36710.78125</v>
      </c>
      <c r="W311">
        <v>16917.568359375</v>
      </c>
      <c r="X311">
        <v>18260.41796875</v>
      </c>
      <c r="Y311">
        <v>34450.7421875</v>
      </c>
      <c r="Z311">
        <v>39945.70703125</v>
      </c>
      <c r="AA311">
        <v>18121.56640625</v>
      </c>
      <c r="AB311">
        <v>71688.71875</v>
      </c>
      <c r="AC311">
        <v>60613.640625</v>
      </c>
      <c r="AD311">
        <v>72659.7578125</v>
      </c>
      <c r="AE311">
        <v>84784.6875</v>
      </c>
      <c r="AF311">
        <v>14924.6630859375</v>
      </c>
      <c r="AG311">
        <v>44751.73828125</v>
      </c>
      <c r="AH311">
        <v>22111.40625</v>
      </c>
      <c r="AI311">
        <v>23893.8671875</v>
      </c>
      <c r="AK311">
        <f t="shared" si="1"/>
        <v>559835.2626953125</v>
      </c>
      <c r="AM311" s="2"/>
    </row>
    <row r="312" spans="1:39" x14ac:dyDescent="0.45">
      <c r="A312">
        <v>60</v>
      </c>
      <c r="B312">
        <v>41361.9375</v>
      </c>
      <c r="C312">
        <v>18658.296875</v>
      </c>
      <c r="D312">
        <v>18016.9921875</v>
      </c>
      <c r="E312">
        <v>35198.88671875</v>
      </c>
      <c r="F312">
        <v>45694.8515625</v>
      </c>
      <c r="G312">
        <v>17995.509765625</v>
      </c>
      <c r="H312">
        <v>76291.7265625</v>
      </c>
      <c r="I312">
        <v>60399.5625</v>
      </c>
      <c r="J312">
        <v>78967.2265625</v>
      </c>
      <c r="K312">
        <v>87995.15625</v>
      </c>
      <c r="L312">
        <v>16045.0107421875</v>
      </c>
      <c r="M312">
        <v>44975.0703125</v>
      </c>
      <c r="N312">
        <v>22445.166015625</v>
      </c>
      <c r="O312">
        <v>23401.56640625</v>
      </c>
      <c r="U312" s="2">
        <v>0.25</v>
      </c>
      <c r="V312">
        <v>41361.9375</v>
      </c>
      <c r="W312">
        <v>18658.296875</v>
      </c>
      <c r="X312">
        <v>18016.9921875</v>
      </c>
      <c r="Y312">
        <v>35198.88671875</v>
      </c>
      <c r="Z312">
        <v>45694.8515625</v>
      </c>
      <c r="AA312">
        <v>17995.509765625</v>
      </c>
      <c r="AB312">
        <v>76291.7265625</v>
      </c>
      <c r="AC312">
        <v>60399.5625</v>
      </c>
      <c r="AD312">
        <v>78967.2265625</v>
      </c>
      <c r="AE312">
        <v>87995.15625</v>
      </c>
      <c r="AF312">
        <v>16045.0107421875</v>
      </c>
      <c r="AG312">
        <v>44975.0703125</v>
      </c>
      <c r="AH312">
        <v>22445.166015625</v>
      </c>
      <c r="AI312">
        <v>23401.56640625</v>
      </c>
      <c r="AK312">
        <f t="shared" si="1"/>
        <v>587446.9599609375</v>
      </c>
      <c r="AM312" s="2"/>
    </row>
    <row r="313" spans="1:39" x14ac:dyDescent="0.45">
      <c r="A313">
        <v>61</v>
      </c>
      <c r="B313">
        <v>37148.921875</v>
      </c>
      <c r="C313">
        <v>21264.453125</v>
      </c>
      <c r="D313">
        <v>20082.32421875</v>
      </c>
      <c r="E313">
        <v>31457.765625</v>
      </c>
      <c r="F313">
        <v>48776.71875</v>
      </c>
      <c r="G313">
        <v>18115.4921875</v>
      </c>
      <c r="H313">
        <v>77250.4375</v>
      </c>
      <c r="I313">
        <v>60417.08203125</v>
      </c>
      <c r="J313">
        <v>79030.953125</v>
      </c>
      <c r="K313">
        <v>86998.7734375</v>
      </c>
      <c r="L313">
        <v>15666.41015625</v>
      </c>
      <c r="M313">
        <v>48129.67578125</v>
      </c>
      <c r="N313">
        <v>26379.66015625</v>
      </c>
      <c r="O313">
        <v>25436.9375</v>
      </c>
      <c r="U313" s="2">
        <v>0.27083333333333331</v>
      </c>
      <c r="V313">
        <v>37148.921875</v>
      </c>
      <c r="W313">
        <v>21264.453125</v>
      </c>
      <c r="X313">
        <v>20082.32421875</v>
      </c>
      <c r="Y313">
        <v>31457.765625</v>
      </c>
      <c r="Z313">
        <v>48776.71875</v>
      </c>
      <c r="AA313">
        <v>18115.4921875</v>
      </c>
      <c r="AB313">
        <v>77250.4375</v>
      </c>
      <c r="AC313">
        <v>60417.08203125</v>
      </c>
      <c r="AD313">
        <v>79030.953125</v>
      </c>
      <c r="AE313">
        <v>86998.7734375</v>
      </c>
      <c r="AF313">
        <v>15666.41015625</v>
      </c>
      <c r="AG313">
        <v>48129.67578125</v>
      </c>
      <c r="AH313">
        <v>26379.66015625</v>
      </c>
      <c r="AI313">
        <v>25436.9375</v>
      </c>
      <c r="AK313">
        <f t="shared" si="1"/>
        <v>596155.60546875</v>
      </c>
      <c r="AM313" s="2"/>
    </row>
    <row r="314" spans="1:39" x14ac:dyDescent="0.45">
      <c r="A314">
        <v>62</v>
      </c>
      <c r="B314">
        <v>35009.875</v>
      </c>
      <c r="C314">
        <v>20886.267578125</v>
      </c>
      <c r="D314">
        <v>22059.0703125</v>
      </c>
      <c r="E314">
        <v>27766.759765625</v>
      </c>
      <c r="F314">
        <v>48218.828125</v>
      </c>
      <c r="G314">
        <v>19077.751953125</v>
      </c>
      <c r="H314">
        <v>75615.671875</v>
      </c>
      <c r="I314">
        <v>64789.10546875</v>
      </c>
      <c r="J314">
        <v>76152.5234375</v>
      </c>
      <c r="K314">
        <v>85510.8203125</v>
      </c>
      <c r="L314">
        <v>17331.4140625</v>
      </c>
      <c r="M314">
        <v>50196.18359375</v>
      </c>
      <c r="N314">
        <v>30977.537109375</v>
      </c>
      <c r="O314">
        <v>28933.330078125</v>
      </c>
      <c r="U314" s="2">
        <v>0.29166666666666669</v>
      </c>
      <c r="V314">
        <v>35009.875</v>
      </c>
      <c r="W314">
        <v>20886.267578125</v>
      </c>
      <c r="X314">
        <v>22059.0703125</v>
      </c>
      <c r="Y314">
        <v>27766.759765625</v>
      </c>
      <c r="Z314">
        <v>48218.828125</v>
      </c>
      <c r="AA314">
        <v>19077.751953125</v>
      </c>
      <c r="AB314">
        <v>75615.671875</v>
      </c>
      <c r="AC314">
        <v>64789.10546875</v>
      </c>
      <c r="AD314">
        <v>76152.5234375</v>
      </c>
      <c r="AE314">
        <v>85510.8203125</v>
      </c>
      <c r="AF314">
        <v>17331.4140625</v>
      </c>
      <c r="AG314">
        <v>50196.18359375</v>
      </c>
      <c r="AH314">
        <v>30977.537109375</v>
      </c>
      <c r="AI314">
        <v>28933.330078125</v>
      </c>
      <c r="AK314">
        <f t="shared" si="1"/>
        <v>602525.138671875</v>
      </c>
      <c r="AM314" s="2"/>
    </row>
    <row r="315" spans="1:39" x14ac:dyDescent="0.45">
      <c r="A315">
        <v>63</v>
      </c>
      <c r="B315">
        <v>33131.96484375</v>
      </c>
      <c r="C315">
        <v>18715.591796875</v>
      </c>
      <c r="D315">
        <v>18493.57421875</v>
      </c>
      <c r="E315">
        <v>20514.5546875</v>
      </c>
      <c r="F315">
        <v>44219.53515625</v>
      </c>
      <c r="G315">
        <v>19601.88671875</v>
      </c>
      <c r="H315">
        <v>66115.0703125</v>
      </c>
      <c r="I315">
        <v>53665.15625</v>
      </c>
      <c r="J315">
        <v>65590.984375</v>
      </c>
      <c r="K315">
        <v>73526.578125</v>
      </c>
      <c r="L315">
        <v>14509.33203125</v>
      </c>
      <c r="M315">
        <v>45748.765625</v>
      </c>
      <c r="N315">
        <v>29555.228515625</v>
      </c>
      <c r="O315">
        <v>22665.31640625</v>
      </c>
      <c r="U315" s="2">
        <v>0.3125</v>
      </c>
      <c r="V315">
        <v>33131.96484375</v>
      </c>
      <c r="W315">
        <v>18715.591796875</v>
      </c>
      <c r="X315">
        <v>18493.57421875</v>
      </c>
      <c r="Y315">
        <v>20514.5546875</v>
      </c>
      <c r="Z315">
        <v>44219.53515625</v>
      </c>
      <c r="AA315">
        <v>19601.88671875</v>
      </c>
      <c r="AB315">
        <v>66115.0703125</v>
      </c>
      <c r="AC315">
        <v>53665.15625</v>
      </c>
      <c r="AD315">
        <v>65590.984375</v>
      </c>
      <c r="AE315">
        <v>73526.578125</v>
      </c>
      <c r="AF315">
        <v>14509.33203125</v>
      </c>
      <c r="AG315">
        <v>45748.765625</v>
      </c>
      <c r="AH315">
        <v>29555.228515625</v>
      </c>
      <c r="AI315">
        <v>22665.31640625</v>
      </c>
      <c r="AK315">
        <f t="shared" si="1"/>
        <v>526053.5390625</v>
      </c>
      <c r="AM315" s="2"/>
    </row>
    <row r="316" spans="1:39" x14ac:dyDescent="0.45">
      <c r="A316">
        <v>64</v>
      </c>
      <c r="B316">
        <v>24985.841796875</v>
      </c>
      <c r="C316">
        <v>17473.46875</v>
      </c>
      <c r="D316">
        <v>14774.9033203125</v>
      </c>
      <c r="E316">
        <v>11023.412109375</v>
      </c>
      <c r="F316">
        <v>36570.9609375</v>
      </c>
      <c r="G316">
        <v>18655.669921875</v>
      </c>
      <c r="H316">
        <v>53496.48828125</v>
      </c>
      <c r="I316">
        <v>47302.89453125</v>
      </c>
      <c r="J316">
        <v>50926.390625</v>
      </c>
      <c r="K316">
        <v>60851.96875</v>
      </c>
      <c r="L316">
        <v>11427.9375</v>
      </c>
      <c r="M316">
        <v>41067.23828125</v>
      </c>
      <c r="N316">
        <v>37651.36328125</v>
      </c>
      <c r="O316">
        <v>23421.55078125</v>
      </c>
      <c r="U316" s="2">
        <v>0.33333333333333331</v>
      </c>
      <c r="V316">
        <v>24985.841796875</v>
      </c>
      <c r="W316">
        <v>17473.46875</v>
      </c>
      <c r="X316">
        <v>14774.9033203125</v>
      </c>
      <c r="Y316">
        <v>11023.412109375</v>
      </c>
      <c r="Z316">
        <v>36570.9609375</v>
      </c>
      <c r="AA316">
        <v>18655.669921875</v>
      </c>
      <c r="AB316">
        <v>53496.48828125</v>
      </c>
      <c r="AC316">
        <v>47302.89453125</v>
      </c>
      <c r="AD316">
        <v>50926.390625</v>
      </c>
      <c r="AE316">
        <v>60851.96875</v>
      </c>
      <c r="AF316">
        <v>11427.9375</v>
      </c>
      <c r="AG316">
        <v>41067.23828125</v>
      </c>
      <c r="AH316">
        <v>37651.36328125</v>
      </c>
      <c r="AI316">
        <v>23421.55078125</v>
      </c>
      <c r="AK316">
        <f t="shared" si="1"/>
        <v>449630.0888671875</v>
      </c>
      <c r="AM316" s="2"/>
    </row>
    <row r="317" spans="1:39" x14ac:dyDescent="0.45">
      <c r="A317">
        <v>65</v>
      </c>
      <c r="B317">
        <v>25324.00390625</v>
      </c>
      <c r="C317">
        <v>16636.669921875</v>
      </c>
      <c r="D317">
        <v>10710.306640625</v>
      </c>
      <c r="E317">
        <v>14346.5205078125</v>
      </c>
      <c r="F317">
        <v>32893.80859375</v>
      </c>
      <c r="G317">
        <v>17593.474609375</v>
      </c>
      <c r="H317">
        <v>51540.02734375</v>
      </c>
      <c r="I317">
        <v>35262.58203125</v>
      </c>
      <c r="J317">
        <v>52104.1015625</v>
      </c>
      <c r="K317">
        <v>53362.5390625</v>
      </c>
      <c r="L317">
        <v>11609.62890625</v>
      </c>
      <c r="M317">
        <v>34747.2109375</v>
      </c>
      <c r="N317">
        <v>35891.3984375</v>
      </c>
      <c r="O317">
        <v>16249.2392578125</v>
      </c>
      <c r="U317" s="2">
        <v>0.35416666666666669</v>
      </c>
      <c r="V317">
        <v>25324.00390625</v>
      </c>
      <c r="W317">
        <v>16636.669921875</v>
      </c>
      <c r="X317">
        <v>10710.306640625</v>
      </c>
      <c r="Y317">
        <v>14346.5205078125</v>
      </c>
      <c r="Z317">
        <v>32893.80859375</v>
      </c>
      <c r="AA317">
        <v>17593.474609375</v>
      </c>
      <c r="AB317">
        <v>51540.02734375</v>
      </c>
      <c r="AC317">
        <v>35262.58203125</v>
      </c>
      <c r="AD317">
        <v>52104.1015625</v>
      </c>
      <c r="AE317">
        <v>53362.5390625</v>
      </c>
      <c r="AF317">
        <v>11609.62890625</v>
      </c>
      <c r="AG317">
        <v>34747.2109375</v>
      </c>
      <c r="AH317">
        <v>35891.3984375</v>
      </c>
      <c r="AI317">
        <v>16249.2392578125</v>
      </c>
      <c r="AK317">
        <f t="shared" si="1"/>
        <v>408271.51171875</v>
      </c>
      <c r="AM317" s="2"/>
    </row>
    <row r="318" spans="1:39" x14ac:dyDescent="0.45">
      <c r="A318">
        <v>66</v>
      </c>
      <c r="B318">
        <v>14868.6640625</v>
      </c>
      <c r="C318">
        <v>13585.115234375</v>
      </c>
      <c r="D318">
        <v>4151.9248046875</v>
      </c>
      <c r="E318">
        <v>3716.32446289062</v>
      </c>
      <c r="F318">
        <v>24810.8515625</v>
      </c>
      <c r="G318">
        <v>13032.55859375</v>
      </c>
      <c r="H318">
        <v>31973.44921875</v>
      </c>
      <c r="I318">
        <v>23158.978515625</v>
      </c>
      <c r="J318">
        <v>35022.4921875</v>
      </c>
      <c r="K318">
        <v>35789.02734375</v>
      </c>
      <c r="L318">
        <v>9486.9677734375</v>
      </c>
      <c r="M318">
        <v>25682.28125</v>
      </c>
      <c r="N318">
        <v>40629.85546875</v>
      </c>
      <c r="O318">
        <v>16337.26953125</v>
      </c>
      <c r="U318" s="2">
        <v>0.375</v>
      </c>
      <c r="V318">
        <v>14868.6640625</v>
      </c>
      <c r="W318">
        <v>13585.115234375</v>
      </c>
      <c r="X318">
        <v>4151.9248046875</v>
      </c>
      <c r="Y318">
        <v>3716.32446289062</v>
      </c>
      <c r="Z318">
        <v>24810.8515625</v>
      </c>
      <c r="AA318">
        <v>13032.55859375</v>
      </c>
      <c r="AB318">
        <v>31973.44921875</v>
      </c>
      <c r="AC318">
        <v>23158.978515625</v>
      </c>
      <c r="AD318">
        <v>35022.4921875</v>
      </c>
      <c r="AE318">
        <v>35789.02734375</v>
      </c>
      <c r="AF318">
        <v>9486.9677734375</v>
      </c>
      <c r="AG318">
        <v>25682.28125</v>
      </c>
      <c r="AH318">
        <v>40629.85546875</v>
      </c>
      <c r="AI318">
        <v>16337.26953125</v>
      </c>
      <c r="AK318">
        <f t="shared" ref="AK318:AK381" si="19">SUM(V318:AI318)</f>
        <v>292245.76000976563</v>
      </c>
      <c r="AM318" s="2"/>
    </row>
    <row r="319" spans="1:39" x14ac:dyDescent="0.45">
      <c r="A319">
        <v>67</v>
      </c>
      <c r="B319">
        <v>8366.9052734375</v>
      </c>
      <c r="C319">
        <v>7884.93115234375</v>
      </c>
      <c r="D319">
        <v>2047.25720214843</v>
      </c>
      <c r="E319">
        <v>-2274.69384765625</v>
      </c>
      <c r="F319">
        <v>13306.6474609375</v>
      </c>
      <c r="G319">
        <v>9627.9013671875</v>
      </c>
      <c r="H319">
        <v>18258.2578125</v>
      </c>
      <c r="I319">
        <v>-812.28997802734295</v>
      </c>
      <c r="J319">
        <v>20178.900390625</v>
      </c>
      <c r="K319">
        <v>10170.0087890625</v>
      </c>
      <c r="L319">
        <v>2276.71240234375</v>
      </c>
      <c r="M319">
        <v>17367.607421875</v>
      </c>
      <c r="N319">
        <v>35610.65234375</v>
      </c>
      <c r="O319">
        <v>3050.98510742187</v>
      </c>
      <c r="U319" s="2">
        <v>0.39583333333333331</v>
      </c>
      <c r="V319">
        <v>8366.9052734375</v>
      </c>
      <c r="W319">
        <v>7884.93115234375</v>
      </c>
      <c r="X319">
        <v>2047.25720214843</v>
      </c>
      <c r="Y319">
        <v>-2274.69384765625</v>
      </c>
      <c r="Z319">
        <v>13306.6474609375</v>
      </c>
      <c r="AA319">
        <v>9627.9013671875</v>
      </c>
      <c r="AB319">
        <v>18258.2578125</v>
      </c>
      <c r="AC319">
        <v>-812.28997802734295</v>
      </c>
      <c r="AD319">
        <v>20178.900390625</v>
      </c>
      <c r="AE319">
        <v>10170.0087890625</v>
      </c>
      <c r="AF319">
        <v>2276.71240234375</v>
      </c>
      <c r="AG319">
        <v>17367.607421875</v>
      </c>
      <c r="AH319">
        <v>35610.65234375</v>
      </c>
      <c r="AI319">
        <v>3050.98510742187</v>
      </c>
      <c r="AK319">
        <f t="shared" si="19"/>
        <v>145059.78289794922</v>
      </c>
      <c r="AM319" s="2"/>
    </row>
    <row r="320" spans="1:39" x14ac:dyDescent="0.45">
      <c r="A320">
        <v>68</v>
      </c>
      <c r="B320">
        <v>-438.21224975585898</v>
      </c>
      <c r="C320">
        <v>12866.927734375</v>
      </c>
      <c r="D320">
        <v>-3829.46899414062</v>
      </c>
      <c r="E320">
        <v>-9154.9130859375</v>
      </c>
      <c r="F320">
        <v>9455.3818359375</v>
      </c>
      <c r="G320">
        <v>-276.05450439453102</v>
      </c>
      <c r="H320">
        <v>10430.3564453125</v>
      </c>
      <c r="I320">
        <v>-11498.1044921875</v>
      </c>
      <c r="J320">
        <v>10458.541015625</v>
      </c>
      <c r="K320">
        <v>-7663.51220703125</v>
      </c>
      <c r="L320">
        <v>1537.99108886718</v>
      </c>
      <c r="M320">
        <v>7006.26318359375</v>
      </c>
      <c r="N320">
        <v>44256.7578125</v>
      </c>
      <c r="O320">
        <v>2352.76000976562</v>
      </c>
      <c r="U320" s="2">
        <v>0.41666666666666669</v>
      </c>
      <c r="V320">
        <v>-438.21224975585898</v>
      </c>
      <c r="W320">
        <v>12866.927734375</v>
      </c>
      <c r="X320">
        <v>-3829.46899414062</v>
      </c>
      <c r="Y320">
        <v>-9154.9130859375</v>
      </c>
      <c r="Z320">
        <v>9455.3818359375</v>
      </c>
      <c r="AA320">
        <v>-276.05450439453102</v>
      </c>
      <c r="AB320">
        <v>10430.3564453125</v>
      </c>
      <c r="AC320">
        <v>-11498.1044921875</v>
      </c>
      <c r="AD320">
        <v>10458.541015625</v>
      </c>
      <c r="AE320">
        <v>-7663.51220703125</v>
      </c>
      <c r="AF320">
        <v>1537.99108886718</v>
      </c>
      <c r="AG320">
        <v>7006.26318359375</v>
      </c>
      <c r="AH320">
        <v>44256.7578125</v>
      </c>
      <c r="AI320">
        <v>2352.76000976562</v>
      </c>
      <c r="AK320">
        <f t="shared" si="19"/>
        <v>65504.71359252929</v>
      </c>
      <c r="AM320" s="2"/>
    </row>
    <row r="321" spans="1:39" x14ac:dyDescent="0.45">
      <c r="A321">
        <v>69</v>
      </c>
      <c r="B321">
        <v>18656.033203125</v>
      </c>
      <c r="C321">
        <v>24141.318359375</v>
      </c>
      <c r="D321">
        <v>-3579.76025390625</v>
      </c>
      <c r="E321">
        <v>-3857.17358398437</v>
      </c>
      <c r="F321">
        <v>33137.53125</v>
      </c>
      <c r="G321">
        <v>-412.08151245117102</v>
      </c>
      <c r="H321">
        <v>42341.859375</v>
      </c>
      <c r="I321">
        <v>-5273.88232421875</v>
      </c>
      <c r="J321">
        <v>39501.609375</v>
      </c>
      <c r="K321">
        <v>16035.171875</v>
      </c>
      <c r="L321">
        <v>9797.06640625</v>
      </c>
      <c r="M321">
        <v>13068.21875</v>
      </c>
      <c r="N321">
        <v>47297.5078125</v>
      </c>
      <c r="O321">
        <v>6552.1142578125</v>
      </c>
      <c r="U321" s="2">
        <v>0.4375</v>
      </c>
      <c r="V321">
        <v>18656.033203125</v>
      </c>
      <c r="W321">
        <v>24141.318359375</v>
      </c>
      <c r="X321">
        <v>-3579.76025390625</v>
      </c>
      <c r="Y321">
        <v>-3857.17358398437</v>
      </c>
      <c r="Z321">
        <v>33137.53125</v>
      </c>
      <c r="AA321">
        <v>-412.08151245117102</v>
      </c>
      <c r="AB321">
        <v>42341.859375</v>
      </c>
      <c r="AC321">
        <v>-5273.88232421875</v>
      </c>
      <c r="AD321">
        <v>39501.609375</v>
      </c>
      <c r="AE321">
        <v>16035.171875</v>
      </c>
      <c r="AF321">
        <v>9797.06640625</v>
      </c>
      <c r="AG321">
        <v>13068.21875</v>
      </c>
      <c r="AH321">
        <v>47297.5078125</v>
      </c>
      <c r="AI321">
        <v>6552.1142578125</v>
      </c>
      <c r="AK321">
        <f t="shared" si="19"/>
        <v>237405.53298950195</v>
      </c>
      <c r="AM321" s="2"/>
    </row>
    <row r="322" spans="1:39" x14ac:dyDescent="0.45">
      <c r="A322">
        <v>70</v>
      </c>
      <c r="B322">
        <v>18562.537109375</v>
      </c>
      <c r="C322">
        <v>25507.208984375</v>
      </c>
      <c r="D322">
        <v>-2448.95458984375</v>
      </c>
      <c r="E322">
        <v>-2386.75634765625</v>
      </c>
      <c r="F322">
        <v>33980.73828125</v>
      </c>
      <c r="G322">
        <v>-1220.24243164062</v>
      </c>
      <c r="H322">
        <v>45078.5078125</v>
      </c>
      <c r="I322">
        <v>-7171.705078125</v>
      </c>
      <c r="J322">
        <v>43376.54296875</v>
      </c>
      <c r="K322">
        <v>15547.0546875</v>
      </c>
      <c r="L322">
        <v>7950.48681640625</v>
      </c>
      <c r="M322">
        <v>15347.7275390625</v>
      </c>
      <c r="N322">
        <v>50080.13671875</v>
      </c>
      <c r="O322">
        <v>8544.9619140625</v>
      </c>
      <c r="U322" s="2">
        <v>0.45833333333333331</v>
      </c>
      <c r="V322">
        <v>18562.537109375</v>
      </c>
      <c r="W322">
        <v>25507.208984375</v>
      </c>
      <c r="X322">
        <v>-2448.95458984375</v>
      </c>
      <c r="Y322">
        <v>-2386.75634765625</v>
      </c>
      <c r="Z322">
        <v>33980.73828125</v>
      </c>
      <c r="AA322">
        <v>-1220.24243164062</v>
      </c>
      <c r="AB322">
        <v>45078.5078125</v>
      </c>
      <c r="AC322">
        <v>-7171.705078125</v>
      </c>
      <c r="AD322">
        <v>43376.54296875</v>
      </c>
      <c r="AE322">
        <v>15547.0546875</v>
      </c>
      <c r="AF322">
        <v>7950.48681640625</v>
      </c>
      <c r="AG322">
        <v>15347.7275390625</v>
      </c>
      <c r="AH322">
        <v>50080.13671875</v>
      </c>
      <c r="AI322">
        <v>8544.9619140625</v>
      </c>
      <c r="AK322">
        <f t="shared" si="19"/>
        <v>250748.24438476563</v>
      </c>
      <c r="AM322" s="2"/>
    </row>
    <row r="323" spans="1:39" x14ac:dyDescent="0.45">
      <c r="A323">
        <v>71</v>
      </c>
      <c r="B323">
        <v>23301.71875</v>
      </c>
      <c r="C323">
        <v>29997.736328125</v>
      </c>
      <c r="D323">
        <v>-9906.302734375</v>
      </c>
      <c r="E323">
        <v>3415.0693359375</v>
      </c>
      <c r="F323">
        <v>42895.2578125</v>
      </c>
      <c r="G323">
        <v>-1184.23400878906</v>
      </c>
      <c r="H323">
        <v>48985.40625</v>
      </c>
      <c r="I323">
        <v>446.15927124023398</v>
      </c>
      <c r="J323">
        <v>58788.33984375</v>
      </c>
      <c r="K323">
        <v>34432.8046875</v>
      </c>
      <c r="L323">
        <v>9865.0849609375</v>
      </c>
      <c r="M323">
        <v>15545.0263671875</v>
      </c>
      <c r="N323">
        <v>59362.484375</v>
      </c>
      <c r="O323">
        <v>14784.7802734375</v>
      </c>
      <c r="U323" s="2">
        <v>0.47916666666666669</v>
      </c>
      <c r="V323">
        <v>23301.71875</v>
      </c>
      <c r="W323">
        <v>29997.736328125</v>
      </c>
      <c r="X323">
        <v>-9906.302734375</v>
      </c>
      <c r="Y323">
        <v>3415.0693359375</v>
      </c>
      <c r="Z323">
        <v>42895.2578125</v>
      </c>
      <c r="AA323">
        <v>-1184.23400878906</v>
      </c>
      <c r="AB323">
        <v>48985.40625</v>
      </c>
      <c r="AC323">
        <v>446.15927124023398</v>
      </c>
      <c r="AD323">
        <v>58788.33984375</v>
      </c>
      <c r="AE323">
        <v>34432.8046875</v>
      </c>
      <c r="AF323">
        <v>9865.0849609375</v>
      </c>
      <c r="AG323">
        <v>15545.0263671875</v>
      </c>
      <c r="AH323">
        <v>59362.484375</v>
      </c>
      <c r="AI323">
        <v>14784.7802734375</v>
      </c>
      <c r="AK323">
        <f t="shared" si="19"/>
        <v>330729.33151245117</v>
      </c>
      <c r="AM323" s="2"/>
    </row>
    <row r="324" spans="1:39" x14ac:dyDescent="0.45">
      <c r="A324">
        <v>72</v>
      </c>
      <c r="B324">
        <v>24070.7578125</v>
      </c>
      <c r="C324">
        <v>25698.072265625</v>
      </c>
      <c r="D324">
        <v>-14778.490234375</v>
      </c>
      <c r="E324">
        <v>6197.93896484375</v>
      </c>
      <c r="F324">
        <v>34469.60546875</v>
      </c>
      <c r="G324">
        <v>-3230.63696289062</v>
      </c>
      <c r="H324">
        <v>41099.60546875</v>
      </c>
      <c r="I324">
        <v>-1316.46997070312</v>
      </c>
      <c r="J324">
        <v>53819.0390625</v>
      </c>
      <c r="K324">
        <v>35386.9765625</v>
      </c>
      <c r="L324">
        <v>1811.72875976562</v>
      </c>
      <c r="M324">
        <v>14310.2724609375</v>
      </c>
      <c r="N324">
        <v>61554.44140625</v>
      </c>
      <c r="O324">
        <v>13607.2392578125</v>
      </c>
      <c r="U324" s="2">
        <v>0.5</v>
      </c>
      <c r="V324">
        <v>24070.7578125</v>
      </c>
      <c r="W324">
        <v>25698.072265625</v>
      </c>
      <c r="X324">
        <v>-14778.490234375</v>
      </c>
      <c r="Y324">
        <v>6197.93896484375</v>
      </c>
      <c r="Z324">
        <v>34469.60546875</v>
      </c>
      <c r="AA324">
        <v>-3230.63696289062</v>
      </c>
      <c r="AB324">
        <v>41099.60546875</v>
      </c>
      <c r="AC324">
        <v>-1316.46997070312</v>
      </c>
      <c r="AD324">
        <v>53819.0390625</v>
      </c>
      <c r="AE324">
        <v>35386.9765625</v>
      </c>
      <c r="AF324">
        <v>1811.72875976562</v>
      </c>
      <c r="AG324">
        <v>14310.2724609375</v>
      </c>
      <c r="AH324">
        <v>61554.44140625</v>
      </c>
      <c r="AI324">
        <v>13607.2392578125</v>
      </c>
      <c r="AK324">
        <f t="shared" si="19"/>
        <v>292700.08032226563</v>
      </c>
      <c r="AM324" s="2"/>
    </row>
    <row r="325" spans="1:39" x14ac:dyDescent="0.45">
      <c r="A325">
        <v>73</v>
      </c>
      <c r="B325">
        <v>26081.599609375</v>
      </c>
      <c r="C325">
        <v>41051.6484375</v>
      </c>
      <c r="D325">
        <v>-15137.8671875</v>
      </c>
      <c r="E325">
        <v>9580.9609375</v>
      </c>
      <c r="F325">
        <v>44915.765625</v>
      </c>
      <c r="G325">
        <v>3420.67602539062</v>
      </c>
      <c r="H325">
        <v>57435.390625</v>
      </c>
      <c r="I325">
        <v>5870.09423828125</v>
      </c>
      <c r="J325">
        <v>68820.6484375</v>
      </c>
      <c r="K325">
        <v>45804.515625</v>
      </c>
      <c r="L325">
        <v>7426.32421875</v>
      </c>
      <c r="M325">
        <v>28161.083984375</v>
      </c>
      <c r="N325">
        <v>76664.75</v>
      </c>
      <c r="O325">
        <v>17729.720703125</v>
      </c>
      <c r="U325" s="2">
        <v>0.52083333333333337</v>
      </c>
      <c r="V325">
        <v>26081.599609375</v>
      </c>
      <c r="W325">
        <v>41051.6484375</v>
      </c>
      <c r="X325">
        <v>-15137.8671875</v>
      </c>
      <c r="Y325">
        <v>9580.9609375</v>
      </c>
      <c r="Z325">
        <v>44915.765625</v>
      </c>
      <c r="AA325">
        <v>3420.67602539062</v>
      </c>
      <c r="AB325">
        <v>57435.390625</v>
      </c>
      <c r="AC325">
        <v>5870.09423828125</v>
      </c>
      <c r="AD325">
        <v>68820.6484375</v>
      </c>
      <c r="AE325">
        <v>45804.515625</v>
      </c>
      <c r="AF325">
        <v>7426.32421875</v>
      </c>
      <c r="AG325">
        <v>28161.083984375</v>
      </c>
      <c r="AH325">
        <v>76664.75</v>
      </c>
      <c r="AI325">
        <v>17729.720703125</v>
      </c>
      <c r="AK325">
        <f t="shared" si="19"/>
        <v>417825.31127929688</v>
      </c>
      <c r="AM325" s="2"/>
    </row>
    <row r="326" spans="1:39" x14ac:dyDescent="0.45">
      <c r="A326">
        <v>74</v>
      </c>
      <c r="B326">
        <v>28708.873046875</v>
      </c>
      <c r="C326">
        <v>52095.2421875</v>
      </c>
      <c r="D326">
        <v>-9508.666015625</v>
      </c>
      <c r="E326">
        <v>22496.845703125</v>
      </c>
      <c r="F326">
        <v>56540.53515625</v>
      </c>
      <c r="G326">
        <v>4256.8408203125</v>
      </c>
      <c r="H326">
        <v>80046.7265625</v>
      </c>
      <c r="I326">
        <v>8521.041015625</v>
      </c>
      <c r="J326">
        <v>92780.59375</v>
      </c>
      <c r="K326">
        <v>55386.92578125</v>
      </c>
      <c r="L326">
        <v>9338.9267578125</v>
      </c>
      <c r="M326">
        <v>41375.3515625</v>
      </c>
      <c r="N326">
        <v>77342.84375</v>
      </c>
      <c r="O326">
        <v>15004.8427734375</v>
      </c>
      <c r="U326" s="2">
        <v>0.54166666666666663</v>
      </c>
      <c r="V326">
        <v>28708.873046875</v>
      </c>
      <c r="W326">
        <v>52095.2421875</v>
      </c>
      <c r="X326">
        <v>-9508.666015625</v>
      </c>
      <c r="Y326">
        <v>22496.845703125</v>
      </c>
      <c r="Z326">
        <v>56540.53515625</v>
      </c>
      <c r="AA326">
        <v>4256.8408203125</v>
      </c>
      <c r="AB326">
        <v>80046.7265625</v>
      </c>
      <c r="AC326">
        <v>8521.041015625</v>
      </c>
      <c r="AD326">
        <v>92780.59375</v>
      </c>
      <c r="AE326">
        <v>55386.92578125</v>
      </c>
      <c r="AF326">
        <v>9338.9267578125</v>
      </c>
      <c r="AG326">
        <v>41375.3515625</v>
      </c>
      <c r="AH326">
        <v>77342.84375</v>
      </c>
      <c r="AI326">
        <v>15004.8427734375</v>
      </c>
      <c r="AK326">
        <f t="shared" si="19"/>
        <v>534386.9228515625</v>
      </c>
      <c r="AM326" s="2"/>
    </row>
    <row r="327" spans="1:39" x14ac:dyDescent="0.45">
      <c r="A327">
        <v>75</v>
      </c>
      <c r="B327">
        <v>28271.013671875</v>
      </c>
      <c r="C327">
        <v>56963.77734375</v>
      </c>
      <c r="D327">
        <v>-3840.20947265625</v>
      </c>
      <c r="E327">
        <v>26687.8203125</v>
      </c>
      <c r="F327">
        <v>59125.11328125</v>
      </c>
      <c r="G327">
        <v>8293.6142578125</v>
      </c>
      <c r="H327">
        <v>87698.234375</v>
      </c>
      <c r="I327">
        <v>8701.103515625</v>
      </c>
      <c r="J327">
        <v>99956.3671875</v>
      </c>
      <c r="K327">
        <v>53340.49609375</v>
      </c>
      <c r="L327">
        <v>17249.578125</v>
      </c>
      <c r="M327">
        <v>41813.74609375</v>
      </c>
      <c r="N327">
        <v>79165.328125</v>
      </c>
      <c r="O327">
        <v>9223.947265625</v>
      </c>
      <c r="U327" s="2">
        <v>0.5625</v>
      </c>
      <c r="V327">
        <v>28271.013671875</v>
      </c>
      <c r="W327">
        <v>56963.77734375</v>
      </c>
      <c r="X327">
        <v>-3840.20947265625</v>
      </c>
      <c r="Y327">
        <v>26687.8203125</v>
      </c>
      <c r="Z327">
        <v>59125.11328125</v>
      </c>
      <c r="AA327">
        <v>8293.6142578125</v>
      </c>
      <c r="AB327">
        <v>87698.234375</v>
      </c>
      <c r="AC327">
        <v>8701.103515625</v>
      </c>
      <c r="AD327">
        <v>99956.3671875</v>
      </c>
      <c r="AE327">
        <v>53340.49609375</v>
      </c>
      <c r="AF327">
        <v>17249.578125</v>
      </c>
      <c r="AG327">
        <v>41813.74609375</v>
      </c>
      <c r="AH327">
        <v>79165.328125</v>
      </c>
      <c r="AI327">
        <v>9223.947265625</v>
      </c>
      <c r="AK327">
        <f t="shared" si="19"/>
        <v>572649.93017578125</v>
      </c>
      <c r="AM327" s="2"/>
    </row>
    <row r="328" spans="1:39" x14ac:dyDescent="0.45">
      <c r="A328">
        <v>76</v>
      </c>
      <c r="B328">
        <v>38276.90234375</v>
      </c>
      <c r="C328">
        <v>55090.8046875</v>
      </c>
      <c r="D328">
        <v>8468.3056640625</v>
      </c>
      <c r="E328">
        <v>32566.193359375</v>
      </c>
      <c r="F328">
        <v>67524.6875</v>
      </c>
      <c r="G328">
        <v>24835.5234375</v>
      </c>
      <c r="H328">
        <v>105174.234375</v>
      </c>
      <c r="I328">
        <v>47927.1015625</v>
      </c>
      <c r="J328">
        <v>112501.2578125</v>
      </c>
      <c r="K328">
        <v>92411.34375</v>
      </c>
      <c r="L328">
        <v>18147.685546875</v>
      </c>
      <c r="M328">
        <v>67427.6875</v>
      </c>
      <c r="N328">
        <v>89630.03125</v>
      </c>
      <c r="O328">
        <v>22199.203125</v>
      </c>
      <c r="U328" s="2">
        <v>0.58333333333333337</v>
      </c>
      <c r="V328">
        <v>38276.90234375</v>
      </c>
      <c r="W328">
        <v>55090.8046875</v>
      </c>
      <c r="X328">
        <v>8468.3056640625</v>
      </c>
      <c r="Y328">
        <v>32566.193359375</v>
      </c>
      <c r="Z328">
        <v>67524.6875</v>
      </c>
      <c r="AA328">
        <v>24835.5234375</v>
      </c>
      <c r="AB328">
        <v>105174.234375</v>
      </c>
      <c r="AC328">
        <v>47927.1015625</v>
      </c>
      <c r="AD328">
        <v>112501.2578125</v>
      </c>
      <c r="AE328">
        <v>92411.34375</v>
      </c>
      <c r="AF328">
        <v>18147.685546875</v>
      </c>
      <c r="AG328">
        <v>67427.6875</v>
      </c>
      <c r="AH328">
        <v>89630.03125</v>
      </c>
      <c r="AI328">
        <v>22199.203125</v>
      </c>
      <c r="AK328">
        <f t="shared" si="19"/>
        <v>782180.9619140625</v>
      </c>
      <c r="AM328" s="2"/>
    </row>
    <row r="329" spans="1:39" x14ac:dyDescent="0.45">
      <c r="A329">
        <v>77</v>
      </c>
      <c r="B329">
        <v>52582.16015625</v>
      </c>
      <c r="C329">
        <v>57346.11328125</v>
      </c>
      <c r="D329">
        <v>13603.4931640625</v>
      </c>
      <c r="E329">
        <v>54583.3359375</v>
      </c>
      <c r="F329">
        <v>80453.7265625</v>
      </c>
      <c r="G329">
        <v>40405.953125</v>
      </c>
      <c r="H329">
        <v>134073.40625</v>
      </c>
      <c r="I329">
        <v>92734.9921875</v>
      </c>
      <c r="J329">
        <v>144803.578125</v>
      </c>
      <c r="K329">
        <v>153710.328125</v>
      </c>
      <c r="L329">
        <v>18885.896484375</v>
      </c>
      <c r="M329">
        <v>91719.59375</v>
      </c>
      <c r="N329">
        <v>94155.1015625</v>
      </c>
      <c r="O329">
        <v>34931.2734375</v>
      </c>
      <c r="U329" s="2">
        <v>0.60416666666666663</v>
      </c>
      <c r="V329">
        <v>52582.16015625</v>
      </c>
      <c r="W329">
        <v>57346.11328125</v>
      </c>
      <c r="X329">
        <v>13603.4931640625</v>
      </c>
      <c r="Y329">
        <v>54583.3359375</v>
      </c>
      <c r="Z329">
        <v>80453.7265625</v>
      </c>
      <c r="AA329">
        <v>40405.953125</v>
      </c>
      <c r="AB329">
        <v>134073.40625</v>
      </c>
      <c r="AC329">
        <v>92734.9921875</v>
      </c>
      <c r="AD329">
        <v>144803.578125</v>
      </c>
      <c r="AE329">
        <v>153710.328125</v>
      </c>
      <c r="AF329">
        <v>18885.896484375</v>
      </c>
      <c r="AG329">
        <v>91719.59375</v>
      </c>
      <c r="AH329">
        <v>94155.1015625</v>
      </c>
      <c r="AI329">
        <v>34931.2734375</v>
      </c>
      <c r="AK329">
        <f t="shared" si="19"/>
        <v>1063988.9521484375</v>
      </c>
      <c r="AM329" s="2"/>
    </row>
    <row r="330" spans="1:39" x14ac:dyDescent="0.45">
      <c r="A330">
        <v>78</v>
      </c>
      <c r="B330">
        <v>76095.59375</v>
      </c>
      <c r="C330">
        <v>64666.65234375</v>
      </c>
      <c r="D330">
        <v>22494.59375</v>
      </c>
      <c r="E330">
        <v>72546.984375</v>
      </c>
      <c r="F330">
        <v>96290.65625</v>
      </c>
      <c r="G330">
        <v>44083.73828125</v>
      </c>
      <c r="H330">
        <v>172943</v>
      </c>
      <c r="I330">
        <v>107994.4609375</v>
      </c>
      <c r="J330">
        <v>178280.59375</v>
      </c>
      <c r="K330">
        <v>185736.375</v>
      </c>
      <c r="L330">
        <v>23715.404296875</v>
      </c>
      <c r="M330">
        <v>108238.875</v>
      </c>
      <c r="N330">
        <v>96985.1796875</v>
      </c>
      <c r="O330">
        <v>43642.05859375</v>
      </c>
      <c r="U330" s="2">
        <v>0.625</v>
      </c>
      <c r="V330">
        <v>76095.59375</v>
      </c>
      <c r="W330">
        <v>64666.65234375</v>
      </c>
      <c r="X330">
        <v>22494.59375</v>
      </c>
      <c r="Y330">
        <v>72546.984375</v>
      </c>
      <c r="Z330">
        <v>96290.65625</v>
      </c>
      <c r="AA330">
        <v>44083.73828125</v>
      </c>
      <c r="AB330">
        <v>172943</v>
      </c>
      <c r="AC330">
        <v>107994.4609375</v>
      </c>
      <c r="AD330">
        <v>178280.59375</v>
      </c>
      <c r="AE330">
        <v>185736.375</v>
      </c>
      <c r="AF330">
        <v>23715.404296875</v>
      </c>
      <c r="AG330">
        <v>108238.875</v>
      </c>
      <c r="AH330">
        <v>96985.1796875</v>
      </c>
      <c r="AI330">
        <v>43642.05859375</v>
      </c>
      <c r="AK330">
        <f t="shared" si="19"/>
        <v>1293714.166015625</v>
      </c>
      <c r="AM330" s="2"/>
    </row>
    <row r="331" spans="1:39" x14ac:dyDescent="0.45">
      <c r="A331">
        <v>79</v>
      </c>
      <c r="B331">
        <v>69684.1484375</v>
      </c>
      <c r="C331">
        <v>78446.6015625</v>
      </c>
      <c r="D331">
        <v>31775.15625</v>
      </c>
      <c r="E331">
        <v>70261.875</v>
      </c>
      <c r="F331">
        <v>109454.296875</v>
      </c>
      <c r="G331">
        <v>56667.08203125</v>
      </c>
      <c r="H331">
        <v>182354.8125</v>
      </c>
      <c r="I331">
        <v>127541.4375</v>
      </c>
      <c r="J331">
        <v>188220.171875</v>
      </c>
      <c r="K331">
        <v>191493.46875</v>
      </c>
      <c r="L331">
        <v>30961.630859375</v>
      </c>
      <c r="M331">
        <v>131268.375</v>
      </c>
      <c r="N331">
        <v>104471.640625</v>
      </c>
      <c r="O331">
        <v>53843.390625</v>
      </c>
      <c r="U331" s="2">
        <v>0.64583333333333337</v>
      </c>
      <c r="V331">
        <v>69684.1484375</v>
      </c>
      <c r="W331">
        <v>78446.6015625</v>
      </c>
      <c r="X331">
        <v>31775.15625</v>
      </c>
      <c r="Y331">
        <v>70261.875</v>
      </c>
      <c r="Z331">
        <v>109454.296875</v>
      </c>
      <c r="AA331">
        <v>56667.08203125</v>
      </c>
      <c r="AB331">
        <v>182354.8125</v>
      </c>
      <c r="AC331">
        <v>127541.4375</v>
      </c>
      <c r="AD331">
        <v>188220.171875</v>
      </c>
      <c r="AE331">
        <v>191493.46875</v>
      </c>
      <c r="AF331">
        <v>30961.630859375</v>
      </c>
      <c r="AG331">
        <v>131268.375</v>
      </c>
      <c r="AH331">
        <v>104471.640625</v>
      </c>
      <c r="AI331">
        <v>53843.390625</v>
      </c>
      <c r="AK331">
        <f t="shared" si="19"/>
        <v>1426444.087890625</v>
      </c>
      <c r="AM331" s="2"/>
    </row>
    <row r="332" spans="1:39" x14ac:dyDescent="0.45">
      <c r="A332">
        <v>80</v>
      </c>
      <c r="B332">
        <v>77797.9140625</v>
      </c>
      <c r="C332">
        <v>82061.5625</v>
      </c>
      <c r="D332">
        <v>37157.078125</v>
      </c>
      <c r="E332">
        <v>62579.9140625</v>
      </c>
      <c r="F332">
        <v>121103.5703125</v>
      </c>
      <c r="G332">
        <v>67475.2421875</v>
      </c>
      <c r="H332">
        <v>194619.703125</v>
      </c>
      <c r="I332">
        <v>143078.859375</v>
      </c>
      <c r="J332">
        <v>188870.21875</v>
      </c>
      <c r="K332">
        <v>203668.015625</v>
      </c>
      <c r="L332">
        <v>38845.4375</v>
      </c>
      <c r="M332">
        <v>146292.859375</v>
      </c>
      <c r="N332">
        <v>112535.5546875</v>
      </c>
      <c r="O332">
        <v>62386.9375</v>
      </c>
      <c r="U332" s="2">
        <v>0.66666666666666663</v>
      </c>
      <c r="V332">
        <v>77797.9140625</v>
      </c>
      <c r="W332">
        <v>82061.5625</v>
      </c>
      <c r="X332">
        <v>37157.078125</v>
      </c>
      <c r="Y332">
        <v>62579.9140625</v>
      </c>
      <c r="Z332">
        <v>121103.5703125</v>
      </c>
      <c r="AA332">
        <v>67475.2421875</v>
      </c>
      <c r="AB332">
        <v>194619.703125</v>
      </c>
      <c r="AC332">
        <v>143078.859375</v>
      </c>
      <c r="AD332">
        <v>188870.21875</v>
      </c>
      <c r="AE332">
        <v>203668.015625</v>
      </c>
      <c r="AF332">
        <v>38845.4375</v>
      </c>
      <c r="AG332">
        <v>146292.859375</v>
      </c>
      <c r="AH332">
        <v>112535.5546875</v>
      </c>
      <c r="AI332">
        <v>62386.9375</v>
      </c>
      <c r="AK332">
        <f t="shared" si="19"/>
        <v>1538472.8671875</v>
      </c>
      <c r="AM332" s="2"/>
    </row>
    <row r="333" spans="1:39" x14ac:dyDescent="0.45">
      <c r="A333">
        <v>81</v>
      </c>
      <c r="B333">
        <v>90581.8984375</v>
      </c>
      <c r="C333">
        <v>87109.3515625</v>
      </c>
      <c r="D333">
        <v>40963.5</v>
      </c>
      <c r="E333">
        <v>78128.1953125</v>
      </c>
      <c r="F333">
        <v>139852.515625</v>
      </c>
      <c r="G333">
        <v>67692.65625</v>
      </c>
      <c r="H333">
        <v>216179.765625</v>
      </c>
      <c r="I333">
        <v>165987</v>
      </c>
      <c r="J333">
        <v>217860.796875</v>
      </c>
      <c r="K333">
        <v>237514.359375</v>
      </c>
      <c r="L333">
        <v>45687.171875</v>
      </c>
      <c r="M333">
        <v>149841.90625</v>
      </c>
      <c r="N333">
        <v>118609.9921875</v>
      </c>
      <c r="O333">
        <v>75462.5625</v>
      </c>
      <c r="U333" s="2">
        <v>0.6875</v>
      </c>
      <c r="V333">
        <v>90581.8984375</v>
      </c>
      <c r="W333">
        <v>87109.3515625</v>
      </c>
      <c r="X333">
        <v>40963.5</v>
      </c>
      <c r="Y333">
        <v>78128.1953125</v>
      </c>
      <c r="Z333">
        <v>139852.515625</v>
      </c>
      <c r="AA333">
        <v>67692.65625</v>
      </c>
      <c r="AB333">
        <v>216179.765625</v>
      </c>
      <c r="AC333">
        <v>165987</v>
      </c>
      <c r="AD333">
        <v>217860.796875</v>
      </c>
      <c r="AE333">
        <v>237514.359375</v>
      </c>
      <c r="AF333">
        <v>45687.171875</v>
      </c>
      <c r="AG333">
        <v>149841.90625</v>
      </c>
      <c r="AH333">
        <v>118609.9921875</v>
      </c>
      <c r="AI333">
        <v>75462.5625</v>
      </c>
      <c r="AK333">
        <f t="shared" si="19"/>
        <v>1731471.671875</v>
      </c>
      <c r="AM333" s="2"/>
    </row>
    <row r="334" spans="1:39" x14ac:dyDescent="0.45">
      <c r="A334">
        <v>82</v>
      </c>
      <c r="B334">
        <v>107212.5625</v>
      </c>
      <c r="C334">
        <v>88410.015625</v>
      </c>
      <c r="D334">
        <v>67482.5</v>
      </c>
      <c r="E334">
        <v>105275.609375</v>
      </c>
      <c r="F334">
        <v>154252.3125</v>
      </c>
      <c r="G334">
        <v>86736.609375</v>
      </c>
      <c r="H334">
        <v>251141.78125</v>
      </c>
      <c r="I334">
        <v>231186.53125</v>
      </c>
      <c r="J334">
        <v>252494.375</v>
      </c>
      <c r="K334">
        <v>298502.375</v>
      </c>
      <c r="L334">
        <v>51262.00390625</v>
      </c>
      <c r="M334">
        <v>186011.90625</v>
      </c>
      <c r="N334">
        <v>129790.078125</v>
      </c>
      <c r="O334">
        <v>92947.953125</v>
      </c>
      <c r="U334" s="2">
        <v>0.70833333333333337</v>
      </c>
      <c r="V334">
        <v>107212.5625</v>
      </c>
      <c r="W334">
        <v>88410.015625</v>
      </c>
      <c r="X334">
        <v>67482.5</v>
      </c>
      <c r="Y334">
        <v>105275.609375</v>
      </c>
      <c r="Z334">
        <v>154252.3125</v>
      </c>
      <c r="AA334">
        <v>86736.609375</v>
      </c>
      <c r="AB334">
        <v>251141.78125</v>
      </c>
      <c r="AC334">
        <v>231186.53125</v>
      </c>
      <c r="AD334">
        <v>252494.375</v>
      </c>
      <c r="AE334">
        <v>298502.375</v>
      </c>
      <c r="AF334">
        <v>51262.00390625</v>
      </c>
      <c r="AG334">
        <v>186011.90625</v>
      </c>
      <c r="AH334">
        <v>129790.078125</v>
      </c>
      <c r="AI334">
        <v>92947.953125</v>
      </c>
      <c r="AK334">
        <f t="shared" si="19"/>
        <v>2102706.61328125</v>
      </c>
      <c r="AM334" s="2"/>
    </row>
    <row r="335" spans="1:39" x14ac:dyDescent="0.45">
      <c r="A335">
        <v>83</v>
      </c>
      <c r="B335">
        <v>122875.5546875</v>
      </c>
      <c r="C335">
        <v>103013.34375</v>
      </c>
      <c r="D335">
        <v>82726.484375</v>
      </c>
      <c r="E335">
        <v>116038.4921875</v>
      </c>
      <c r="F335">
        <v>181317.078125</v>
      </c>
      <c r="G335">
        <v>101163.7578125</v>
      </c>
      <c r="H335">
        <v>290002.875</v>
      </c>
      <c r="I335">
        <v>271650.40625</v>
      </c>
      <c r="J335">
        <v>286304.84375</v>
      </c>
      <c r="K335">
        <v>340540.53125</v>
      </c>
      <c r="L335">
        <v>58471.11328125</v>
      </c>
      <c r="M335">
        <v>216611.515625</v>
      </c>
      <c r="N335">
        <v>138347.234375</v>
      </c>
      <c r="O335">
        <v>107892.6484375</v>
      </c>
      <c r="U335" s="2">
        <v>0.72916666666666663</v>
      </c>
      <c r="V335">
        <v>122875.5546875</v>
      </c>
      <c r="W335">
        <v>103013.34375</v>
      </c>
      <c r="X335">
        <v>82726.484375</v>
      </c>
      <c r="Y335">
        <v>116038.4921875</v>
      </c>
      <c r="Z335">
        <v>181317.078125</v>
      </c>
      <c r="AA335">
        <v>101163.7578125</v>
      </c>
      <c r="AB335">
        <v>290002.875</v>
      </c>
      <c r="AC335">
        <v>271650.40625</v>
      </c>
      <c r="AD335">
        <v>286304.84375</v>
      </c>
      <c r="AE335">
        <v>340540.53125</v>
      </c>
      <c r="AF335">
        <v>58471.11328125</v>
      </c>
      <c r="AG335">
        <v>216611.515625</v>
      </c>
      <c r="AH335">
        <v>138347.234375</v>
      </c>
      <c r="AI335">
        <v>107892.6484375</v>
      </c>
      <c r="AK335">
        <f t="shared" si="19"/>
        <v>2416955.87890625</v>
      </c>
      <c r="AM335" s="2"/>
    </row>
    <row r="336" spans="1:39" x14ac:dyDescent="0.45">
      <c r="A336">
        <v>84</v>
      </c>
      <c r="B336">
        <v>132201.875</v>
      </c>
      <c r="C336">
        <v>111855.7578125</v>
      </c>
      <c r="D336">
        <v>99151.046875</v>
      </c>
      <c r="E336">
        <v>133080.140625</v>
      </c>
      <c r="F336">
        <v>203139.359375</v>
      </c>
      <c r="G336">
        <v>110048.296875</v>
      </c>
      <c r="H336">
        <v>325677.5625</v>
      </c>
      <c r="I336">
        <v>326026.25</v>
      </c>
      <c r="J336">
        <v>323121.21875</v>
      </c>
      <c r="K336">
        <v>394028.59375</v>
      </c>
      <c r="L336">
        <v>63639.6796875</v>
      </c>
      <c r="M336">
        <v>248331.046875</v>
      </c>
      <c r="N336">
        <v>152013.84375</v>
      </c>
      <c r="O336">
        <v>131859.1875</v>
      </c>
      <c r="U336" s="2">
        <v>0.75</v>
      </c>
      <c r="V336">
        <v>132201.875</v>
      </c>
      <c r="W336">
        <v>111855.7578125</v>
      </c>
      <c r="X336">
        <v>99151.046875</v>
      </c>
      <c r="Y336">
        <v>133080.140625</v>
      </c>
      <c r="Z336">
        <v>203139.359375</v>
      </c>
      <c r="AA336">
        <v>110048.296875</v>
      </c>
      <c r="AB336">
        <v>325677.5625</v>
      </c>
      <c r="AC336">
        <v>326026.25</v>
      </c>
      <c r="AD336">
        <v>323121.21875</v>
      </c>
      <c r="AE336">
        <v>394028.59375</v>
      </c>
      <c r="AF336">
        <v>63639.6796875</v>
      </c>
      <c r="AG336">
        <v>248331.046875</v>
      </c>
      <c r="AH336">
        <v>152013.84375</v>
      </c>
      <c r="AI336">
        <v>131859.1875</v>
      </c>
      <c r="AK336">
        <f t="shared" si="19"/>
        <v>2754173.859375</v>
      </c>
      <c r="AM336" s="2"/>
    </row>
    <row r="337" spans="1:39" x14ac:dyDescent="0.45">
      <c r="A337">
        <v>85</v>
      </c>
      <c r="B337">
        <v>147024.046875</v>
      </c>
      <c r="C337">
        <v>111393.0390625</v>
      </c>
      <c r="D337">
        <v>109481.5078125</v>
      </c>
      <c r="E337">
        <v>156203.09375</v>
      </c>
      <c r="F337">
        <v>212311.546875</v>
      </c>
      <c r="G337">
        <v>117702.65625</v>
      </c>
      <c r="H337">
        <v>355674.75</v>
      </c>
      <c r="I337">
        <v>361998.8125</v>
      </c>
      <c r="J337">
        <v>356139.5625</v>
      </c>
      <c r="K337">
        <v>449136.34375</v>
      </c>
      <c r="L337">
        <v>63761.63671875</v>
      </c>
      <c r="M337">
        <v>268961.03125</v>
      </c>
      <c r="N337">
        <v>167458.109375</v>
      </c>
      <c r="O337">
        <v>153533.828125</v>
      </c>
      <c r="U337" s="2">
        <v>0.77083333333333337</v>
      </c>
      <c r="V337">
        <v>147024.046875</v>
      </c>
      <c r="W337">
        <v>111393.0390625</v>
      </c>
      <c r="X337">
        <v>109481.5078125</v>
      </c>
      <c r="Y337">
        <v>156203.09375</v>
      </c>
      <c r="Z337">
        <v>212311.546875</v>
      </c>
      <c r="AA337">
        <v>117702.65625</v>
      </c>
      <c r="AB337">
        <v>355674.75</v>
      </c>
      <c r="AC337">
        <v>361998.8125</v>
      </c>
      <c r="AD337">
        <v>356139.5625</v>
      </c>
      <c r="AE337">
        <v>449136.34375</v>
      </c>
      <c r="AF337">
        <v>63761.63671875</v>
      </c>
      <c r="AG337">
        <v>268961.03125</v>
      </c>
      <c r="AH337">
        <v>167458.109375</v>
      </c>
      <c r="AI337">
        <v>153533.828125</v>
      </c>
      <c r="AK337">
        <f t="shared" si="19"/>
        <v>3030779.96484375</v>
      </c>
      <c r="AM337" s="2"/>
    </row>
    <row r="338" spans="1:39" x14ac:dyDescent="0.45">
      <c r="A338">
        <v>86</v>
      </c>
      <c r="B338">
        <v>148009.390625</v>
      </c>
      <c r="C338">
        <v>106026.859375</v>
      </c>
      <c r="D338">
        <v>110586.2734375</v>
      </c>
      <c r="E338">
        <v>158062.90625</v>
      </c>
      <c r="F338">
        <v>214058.703125</v>
      </c>
      <c r="G338">
        <v>124046</v>
      </c>
      <c r="H338">
        <v>350052.40625</v>
      </c>
      <c r="I338">
        <v>380732.15625</v>
      </c>
      <c r="J338">
        <v>358220.9375</v>
      </c>
      <c r="K338">
        <v>470130.59375</v>
      </c>
      <c r="L338">
        <v>64013.625</v>
      </c>
      <c r="M338">
        <v>273358.1875</v>
      </c>
      <c r="N338">
        <v>175507.890625</v>
      </c>
      <c r="O338">
        <v>164101.390625</v>
      </c>
      <c r="U338" s="2">
        <v>0.79166666666666663</v>
      </c>
      <c r="V338">
        <v>148009.390625</v>
      </c>
      <c r="W338">
        <v>106026.859375</v>
      </c>
      <c r="X338">
        <v>110586.2734375</v>
      </c>
      <c r="Y338">
        <v>158062.90625</v>
      </c>
      <c r="Z338">
        <v>214058.703125</v>
      </c>
      <c r="AA338">
        <v>124046</v>
      </c>
      <c r="AB338">
        <v>350052.40625</v>
      </c>
      <c r="AC338">
        <v>380732.15625</v>
      </c>
      <c r="AD338">
        <v>358220.9375</v>
      </c>
      <c r="AE338">
        <v>470130.59375</v>
      </c>
      <c r="AF338">
        <v>64013.625</v>
      </c>
      <c r="AG338">
        <v>273358.1875</v>
      </c>
      <c r="AH338">
        <v>175507.890625</v>
      </c>
      <c r="AI338">
        <v>164101.390625</v>
      </c>
      <c r="AK338">
        <f t="shared" si="19"/>
        <v>3096907.3203125</v>
      </c>
      <c r="AM338" s="2"/>
    </row>
    <row r="339" spans="1:39" x14ac:dyDescent="0.45">
      <c r="A339">
        <v>87</v>
      </c>
      <c r="B339">
        <v>160009.03125</v>
      </c>
      <c r="C339">
        <v>113231.203125</v>
      </c>
      <c r="D339">
        <v>121288.890625</v>
      </c>
      <c r="E339">
        <v>154397.59375</v>
      </c>
      <c r="F339">
        <v>230186.8125</v>
      </c>
      <c r="G339">
        <v>129849.515625</v>
      </c>
      <c r="H339">
        <v>376136.9375</v>
      </c>
      <c r="I339">
        <v>385754.71875</v>
      </c>
      <c r="J339">
        <v>378206.8125</v>
      </c>
      <c r="K339">
        <v>474327.875</v>
      </c>
      <c r="L339">
        <v>77800.3828125</v>
      </c>
      <c r="M339">
        <v>292264.25</v>
      </c>
      <c r="N339">
        <v>168980.390625</v>
      </c>
      <c r="O339">
        <v>165447.34375</v>
      </c>
      <c r="U339" s="2">
        <v>0.8125</v>
      </c>
      <c r="V339">
        <v>160009.03125</v>
      </c>
      <c r="W339">
        <v>113231.203125</v>
      </c>
      <c r="X339">
        <v>121288.890625</v>
      </c>
      <c r="Y339">
        <v>154397.59375</v>
      </c>
      <c r="Z339">
        <v>230186.8125</v>
      </c>
      <c r="AA339">
        <v>129849.515625</v>
      </c>
      <c r="AB339">
        <v>376136.9375</v>
      </c>
      <c r="AC339">
        <v>385754.71875</v>
      </c>
      <c r="AD339">
        <v>378206.8125</v>
      </c>
      <c r="AE339">
        <v>474327.875</v>
      </c>
      <c r="AF339">
        <v>77800.3828125</v>
      </c>
      <c r="AG339">
        <v>292264.25</v>
      </c>
      <c r="AH339">
        <v>168980.390625</v>
      </c>
      <c r="AI339">
        <v>165447.34375</v>
      </c>
      <c r="AK339">
        <f t="shared" si="19"/>
        <v>3227881.7578125</v>
      </c>
      <c r="AM339" s="2"/>
    </row>
    <row r="340" spans="1:39" x14ac:dyDescent="0.45">
      <c r="A340">
        <v>88</v>
      </c>
      <c r="B340">
        <v>163114.09375</v>
      </c>
      <c r="C340">
        <v>127321.53125</v>
      </c>
      <c r="D340">
        <v>119820.546875</v>
      </c>
      <c r="E340">
        <v>152429.484375</v>
      </c>
      <c r="F340">
        <v>247889.75</v>
      </c>
      <c r="G340">
        <v>118969.0703125</v>
      </c>
      <c r="H340">
        <v>394497.21875</v>
      </c>
      <c r="I340">
        <v>379957.3125</v>
      </c>
      <c r="J340">
        <v>397403.03125</v>
      </c>
      <c r="K340">
        <v>466836.71875</v>
      </c>
      <c r="L340">
        <v>87447.0390625</v>
      </c>
      <c r="M340">
        <v>297245.9375</v>
      </c>
      <c r="N340">
        <v>159255.703125</v>
      </c>
      <c r="O340">
        <v>164577.171875</v>
      </c>
      <c r="U340" s="2">
        <v>0.83333333333333337</v>
      </c>
      <c r="V340">
        <v>163114.09375</v>
      </c>
      <c r="W340">
        <v>127321.53125</v>
      </c>
      <c r="X340">
        <v>119820.546875</v>
      </c>
      <c r="Y340">
        <v>152429.484375</v>
      </c>
      <c r="Z340">
        <v>247889.75</v>
      </c>
      <c r="AA340">
        <v>118969.0703125</v>
      </c>
      <c r="AB340">
        <v>394497.21875</v>
      </c>
      <c r="AC340">
        <v>379957.3125</v>
      </c>
      <c r="AD340">
        <v>397403.03125</v>
      </c>
      <c r="AE340">
        <v>466836.71875</v>
      </c>
      <c r="AF340">
        <v>87447.0390625</v>
      </c>
      <c r="AG340">
        <v>297245.9375</v>
      </c>
      <c r="AH340">
        <v>159255.703125</v>
      </c>
      <c r="AI340">
        <v>164577.171875</v>
      </c>
      <c r="AK340">
        <f t="shared" si="19"/>
        <v>3276764.609375</v>
      </c>
      <c r="AM340" s="2"/>
    </row>
    <row r="341" spans="1:39" x14ac:dyDescent="0.45">
      <c r="A341">
        <v>89</v>
      </c>
      <c r="B341">
        <v>163778.109375</v>
      </c>
      <c r="C341">
        <v>119312.78125</v>
      </c>
      <c r="D341">
        <v>113088.7578125</v>
      </c>
      <c r="E341">
        <v>154956.75</v>
      </c>
      <c r="F341">
        <v>246058.515625</v>
      </c>
      <c r="G341">
        <v>112739.8671875</v>
      </c>
      <c r="H341">
        <v>394092.375</v>
      </c>
      <c r="I341">
        <v>377484.71875</v>
      </c>
      <c r="J341">
        <v>395453.90625</v>
      </c>
      <c r="K341">
        <v>470759.3125</v>
      </c>
      <c r="L341">
        <v>88693.4921875</v>
      </c>
      <c r="M341">
        <v>291364.4375</v>
      </c>
      <c r="N341">
        <v>157593.828125</v>
      </c>
      <c r="O341">
        <v>166894.984375</v>
      </c>
      <c r="U341" s="2">
        <v>0.85416666666666663</v>
      </c>
      <c r="V341">
        <v>163778.109375</v>
      </c>
      <c r="W341">
        <v>119312.78125</v>
      </c>
      <c r="X341">
        <v>113088.7578125</v>
      </c>
      <c r="Y341">
        <v>154956.75</v>
      </c>
      <c r="Z341">
        <v>246058.515625</v>
      </c>
      <c r="AA341">
        <v>112739.8671875</v>
      </c>
      <c r="AB341">
        <v>394092.375</v>
      </c>
      <c r="AC341">
        <v>377484.71875</v>
      </c>
      <c r="AD341">
        <v>395453.90625</v>
      </c>
      <c r="AE341">
        <v>470759.3125</v>
      </c>
      <c r="AF341">
        <v>88693.4921875</v>
      </c>
      <c r="AG341">
        <v>291364.4375</v>
      </c>
      <c r="AH341">
        <v>157593.828125</v>
      </c>
      <c r="AI341">
        <v>166894.984375</v>
      </c>
      <c r="AK341">
        <f t="shared" si="19"/>
        <v>3252271.8359375</v>
      </c>
      <c r="AM341" s="2"/>
    </row>
    <row r="342" spans="1:39" x14ac:dyDescent="0.45">
      <c r="A342">
        <v>90</v>
      </c>
      <c r="B342">
        <v>166269.015625</v>
      </c>
      <c r="C342">
        <v>111337.0859375</v>
      </c>
      <c r="D342">
        <v>107885.2578125</v>
      </c>
      <c r="E342">
        <v>153452.3125</v>
      </c>
      <c r="F342">
        <v>238014.171875</v>
      </c>
      <c r="G342">
        <v>114746.234375</v>
      </c>
      <c r="H342">
        <v>377224.3125</v>
      </c>
      <c r="I342">
        <v>378277.03125</v>
      </c>
      <c r="J342">
        <v>377936.59375</v>
      </c>
      <c r="K342">
        <v>472418.6875</v>
      </c>
      <c r="L342">
        <v>89017.5625</v>
      </c>
      <c r="M342">
        <v>276151.9375</v>
      </c>
      <c r="N342">
        <v>163747</v>
      </c>
      <c r="O342">
        <v>166290.78125</v>
      </c>
      <c r="U342" s="2">
        <v>0.875</v>
      </c>
      <c r="V342">
        <v>166269.015625</v>
      </c>
      <c r="W342">
        <v>111337.0859375</v>
      </c>
      <c r="X342">
        <v>107885.2578125</v>
      </c>
      <c r="Y342">
        <v>153452.3125</v>
      </c>
      <c r="Z342">
        <v>238014.171875</v>
      </c>
      <c r="AA342">
        <v>114746.234375</v>
      </c>
      <c r="AB342">
        <v>377224.3125</v>
      </c>
      <c r="AC342">
        <v>378277.03125</v>
      </c>
      <c r="AD342">
        <v>377936.59375</v>
      </c>
      <c r="AE342">
        <v>472418.6875</v>
      </c>
      <c r="AF342">
        <v>89017.5625</v>
      </c>
      <c r="AG342">
        <v>276151.9375</v>
      </c>
      <c r="AH342">
        <v>163747</v>
      </c>
      <c r="AI342">
        <v>166290.78125</v>
      </c>
      <c r="AK342">
        <f t="shared" si="19"/>
        <v>3192767.984375</v>
      </c>
      <c r="AM342" s="2"/>
    </row>
    <row r="343" spans="1:39" x14ac:dyDescent="0.45">
      <c r="A343">
        <v>91</v>
      </c>
      <c r="B343">
        <v>162067.328125</v>
      </c>
      <c r="C343">
        <v>108439.8359375</v>
      </c>
      <c r="D343">
        <v>94293.703125</v>
      </c>
      <c r="E343">
        <v>133795.953125</v>
      </c>
      <c r="F343">
        <v>232715.765625</v>
      </c>
      <c r="G343">
        <v>104040.2109375</v>
      </c>
      <c r="H343">
        <v>362338.65625</v>
      </c>
      <c r="I343">
        <v>337334.6875</v>
      </c>
      <c r="J343">
        <v>359570.21875</v>
      </c>
      <c r="K343">
        <v>441396.5625</v>
      </c>
      <c r="L343">
        <v>87310.234375</v>
      </c>
      <c r="M343">
        <v>250126.78125</v>
      </c>
      <c r="N343">
        <v>148133.328125</v>
      </c>
      <c r="O343">
        <v>158471.953125</v>
      </c>
      <c r="U343" s="2">
        <v>0.89583333333333337</v>
      </c>
      <c r="V343">
        <v>162067.328125</v>
      </c>
      <c r="W343">
        <v>108439.8359375</v>
      </c>
      <c r="X343">
        <v>94293.703125</v>
      </c>
      <c r="Y343">
        <v>133795.953125</v>
      </c>
      <c r="Z343">
        <v>232715.765625</v>
      </c>
      <c r="AA343">
        <v>104040.2109375</v>
      </c>
      <c r="AB343">
        <v>362338.65625</v>
      </c>
      <c r="AC343">
        <v>337334.6875</v>
      </c>
      <c r="AD343">
        <v>359570.21875</v>
      </c>
      <c r="AE343">
        <v>441396.5625</v>
      </c>
      <c r="AF343">
        <v>87310.234375</v>
      </c>
      <c r="AG343">
        <v>250126.78125</v>
      </c>
      <c r="AH343">
        <v>148133.328125</v>
      </c>
      <c r="AI343">
        <v>158471.953125</v>
      </c>
      <c r="AK343">
        <f t="shared" si="19"/>
        <v>2980035.21875</v>
      </c>
      <c r="AM343" s="2"/>
    </row>
    <row r="344" spans="1:39" x14ac:dyDescent="0.45">
      <c r="A344">
        <v>92</v>
      </c>
      <c r="B344">
        <v>159965.5</v>
      </c>
      <c r="C344">
        <v>93202.2421875</v>
      </c>
      <c r="D344">
        <v>85432.046875</v>
      </c>
      <c r="E344">
        <v>131042.859375</v>
      </c>
      <c r="F344">
        <v>214790.328125</v>
      </c>
      <c r="G344">
        <v>111577.7109375</v>
      </c>
      <c r="H344">
        <v>340591.375</v>
      </c>
      <c r="I344">
        <v>333374.9375</v>
      </c>
      <c r="J344">
        <v>342801.65625</v>
      </c>
      <c r="K344">
        <v>442368.09375</v>
      </c>
      <c r="L344">
        <v>75181.359375</v>
      </c>
      <c r="M344">
        <v>248281.890625</v>
      </c>
      <c r="N344">
        <v>134325.59375</v>
      </c>
      <c r="O344">
        <v>149132.03125</v>
      </c>
      <c r="U344" s="2">
        <v>0.91666666666666663</v>
      </c>
      <c r="V344">
        <v>159965.5</v>
      </c>
      <c r="W344">
        <v>93202.2421875</v>
      </c>
      <c r="X344">
        <v>85432.046875</v>
      </c>
      <c r="Y344">
        <v>131042.859375</v>
      </c>
      <c r="Z344">
        <v>214790.328125</v>
      </c>
      <c r="AA344">
        <v>111577.7109375</v>
      </c>
      <c r="AB344">
        <v>340591.375</v>
      </c>
      <c r="AC344">
        <v>333374.9375</v>
      </c>
      <c r="AD344">
        <v>342801.65625</v>
      </c>
      <c r="AE344">
        <v>442368.09375</v>
      </c>
      <c r="AF344">
        <v>75181.359375</v>
      </c>
      <c r="AG344">
        <v>248281.890625</v>
      </c>
      <c r="AH344">
        <v>134325.59375</v>
      </c>
      <c r="AI344">
        <v>149132.03125</v>
      </c>
      <c r="AK344">
        <f t="shared" si="19"/>
        <v>2862067.625</v>
      </c>
      <c r="AM344" s="2"/>
    </row>
    <row r="345" spans="1:39" x14ac:dyDescent="0.45">
      <c r="A345">
        <v>93</v>
      </c>
      <c r="B345">
        <v>141403.734375</v>
      </c>
      <c r="C345">
        <v>79814.625</v>
      </c>
      <c r="D345">
        <v>74231.09375</v>
      </c>
      <c r="E345">
        <v>113981.2578125</v>
      </c>
      <c r="F345">
        <v>198376.53125</v>
      </c>
      <c r="G345">
        <v>89953.59375</v>
      </c>
      <c r="H345">
        <v>294828.46875</v>
      </c>
      <c r="I345">
        <v>282233.21875</v>
      </c>
      <c r="J345">
        <v>304327.5625</v>
      </c>
      <c r="K345">
        <v>389946.28125</v>
      </c>
      <c r="L345">
        <v>59155.61328125</v>
      </c>
      <c r="M345">
        <v>208268.71875</v>
      </c>
      <c r="N345">
        <v>121576.1953125</v>
      </c>
      <c r="O345">
        <v>130607.875</v>
      </c>
      <c r="U345" s="2">
        <v>0.9375</v>
      </c>
      <c r="V345">
        <v>141403.734375</v>
      </c>
      <c r="W345">
        <v>79814.625</v>
      </c>
      <c r="X345">
        <v>74231.09375</v>
      </c>
      <c r="Y345">
        <v>113981.2578125</v>
      </c>
      <c r="Z345">
        <v>198376.53125</v>
      </c>
      <c r="AA345">
        <v>89953.59375</v>
      </c>
      <c r="AB345">
        <v>294828.46875</v>
      </c>
      <c r="AC345">
        <v>282233.21875</v>
      </c>
      <c r="AD345">
        <v>304327.5625</v>
      </c>
      <c r="AE345">
        <v>389946.28125</v>
      </c>
      <c r="AF345">
        <v>59155.61328125</v>
      </c>
      <c r="AG345">
        <v>208268.71875</v>
      </c>
      <c r="AH345">
        <v>121576.1953125</v>
      </c>
      <c r="AI345">
        <v>130607.875</v>
      </c>
      <c r="AK345">
        <f t="shared" si="19"/>
        <v>2488704.76953125</v>
      </c>
      <c r="AM345" s="2"/>
    </row>
    <row r="346" spans="1:39" x14ac:dyDescent="0.45">
      <c r="A346">
        <v>94</v>
      </c>
      <c r="B346">
        <v>128246.2109375</v>
      </c>
      <c r="C346">
        <v>72635.375</v>
      </c>
      <c r="D346">
        <v>66841.28125</v>
      </c>
      <c r="E346">
        <v>109344.671875</v>
      </c>
      <c r="F346">
        <v>178449.9375</v>
      </c>
      <c r="G346">
        <v>76011.75</v>
      </c>
      <c r="H346">
        <v>266684.09375</v>
      </c>
      <c r="I346">
        <v>249653.640625</v>
      </c>
      <c r="J346">
        <v>275219.09375</v>
      </c>
      <c r="K346">
        <v>348036.125</v>
      </c>
      <c r="L346">
        <v>52681.94140625</v>
      </c>
      <c r="M346">
        <v>179451.765625</v>
      </c>
      <c r="N346">
        <v>111730.0703125</v>
      </c>
      <c r="O346">
        <v>112816.3359375</v>
      </c>
      <c r="U346" s="2">
        <v>0.95833333333333337</v>
      </c>
      <c r="V346">
        <v>128246.2109375</v>
      </c>
      <c r="W346">
        <v>72635.375</v>
      </c>
      <c r="X346">
        <v>66841.28125</v>
      </c>
      <c r="Y346">
        <v>109344.671875</v>
      </c>
      <c r="Z346">
        <v>178449.9375</v>
      </c>
      <c r="AA346">
        <v>76011.75</v>
      </c>
      <c r="AB346">
        <v>266684.09375</v>
      </c>
      <c r="AC346">
        <v>249653.640625</v>
      </c>
      <c r="AD346">
        <v>275219.09375</v>
      </c>
      <c r="AE346">
        <v>348036.125</v>
      </c>
      <c r="AF346">
        <v>52681.94140625</v>
      </c>
      <c r="AG346">
        <v>179451.765625</v>
      </c>
      <c r="AH346">
        <v>111730.0703125</v>
      </c>
      <c r="AI346">
        <v>112816.3359375</v>
      </c>
      <c r="AK346">
        <f t="shared" si="19"/>
        <v>2227802.29296875</v>
      </c>
      <c r="AM346" s="2"/>
    </row>
    <row r="347" spans="1:39" x14ac:dyDescent="0.45">
      <c r="A347">
        <v>95</v>
      </c>
      <c r="B347">
        <v>94507.984375</v>
      </c>
      <c r="C347">
        <v>68042.078125</v>
      </c>
      <c r="D347">
        <v>63497.015625</v>
      </c>
      <c r="E347">
        <v>98962.7734375</v>
      </c>
      <c r="F347">
        <v>149735.0625</v>
      </c>
      <c r="G347">
        <v>57201.203125</v>
      </c>
      <c r="H347">
        <v>228687.796875</v>
      </c>
      <c r="I347">
        <v>201337.75</v>
      </c>
      <c r="J347">
        <v>237890.78125</v>
      </c>
      <c r="K347">
        <v>273013.21875</v>
      </c>
      <c r="L347">
        <v>46716.5703125</v>
      </c>
      <c r="M347">
        <v>157791.078125</v>
      </c>
      <c r="N347">
        <v>86277.6796875</v>
      </c>
      <c r="O347">
        <v>85305.625</v>
      </c>
      <c r="U347" s="2">
        <v>0.97916666666666663</v>
      </c>
      <c r="V347">
        <v>94507.984375</v>
      </c>
      <c r="W347">
        <v>68042.078125</v>
      </c>
      <c r="X347">
        <v>63497.015625</v>
      </c>
      <c r="Y347">
        <v>98962.7734375</v>
      </c>
      <c r="Z347">
        <v>149735.0625</v>
      </c>
      <c r="AA347">
        <v>57201.203125</v>
      </c>
      <c r="AB347">
        <v>228687.796875</v>
      </c>
      <c r="AC347">
        <v>201337.75</v>
      </c>
      <c r="AD347">
        <v>237890.78125</v>
      </c>
      <c r="AE347">
        <v>273013.21875</v>
      </c>
      <c r="AF347">
        <v>46716.5703125</v>
      </c>
      <c r="AG347">
        <v>157791.078125</v>
      </c>
      <c r="AH347">
        <v>86277.6796875</v>
      </c>
      <c r="AI347">
        <v>85305.625</v>
      </c>
      <c r="AK347">
        <f t="shared" si="19"/>
        <v>1848966.6171875</v>
      </c>
      <c r="AM347" s="2"/>
    </row>
    <row r="348" spans="1:39" x14ac:dyDescent="0.45">
      <c r="A348">
        <v>96</v>
      </c>
      <c r="B348">
        <v>96668.359375</v>
      </c>
      <c r="C348">
        <v>55757.26953125</v>
      </c>
      <c r="D348">
        <v>56276.58984375</v>
      </c>
      <c r="E348">
        <v>94029.828125</v>
      </c>
      <c r="F348">
        <v>129921.8828125</v>
      </c>
      <c r="G348">
        <v>53802.421875</v>
      </c>
      <c r="H348">
        <v>208739.046875</v>
      </c>
      <c r="I348">
        <v>186234.4375</v>
      </c>
      <c r="J348">
        <v>216206.953125</v>
      </c>
      <c r="K348">
        <v>260886.53125</v>
      </c>
      <c r="L348">
        <v>36695.4453125</v>
      </c>
      <c r="M348">
        <v>142743.96875</v>
      </c>
      <c r="N348">
        <v>81870.078125</v>
      </c>
      <c r="O348">
        <v>83412.875</v>
      </c>
      <c r="U348" s="2">
        <v>0</v>
      </c>
      <c r="V348">
        <v>96668.359375</v>
      </c>
      <c r="W348">
        <v>55757.26953125</v>
      </c>
      <c r="X348">
        <v>56276.58984375</v>
      </c>
      <c r="Y348">
        <v>94029.828125</v>
      </c>
      <c r="Z348">
        <v>129921.8828125</v>
      </c>
      <c r="AA348">
        <v>53802.421875</v>
      </c>
      <c r="AB348">
        <v>208739.046875</v>
      </c>
      <c r="AC348">
        <v>186234.4375</v>
      </c>
      <c r="AD348">
        <v>216206.953125</v>
      </c>
      <c r="AE348">
        <v>260886.53125</v>
      </c>
      <c r="AF348">
        <v>36695.4453125</v>
      </c>
      <c r="AG348">
        <v>142743.96875</v>
      </c>
      <c r="AH348">
        <v>81870.078125</v>
      </c>
      <c r="AI348">
        <v>83412.875</v>
      </c>
      <c r="AK348">
        <f t="shared" si="19"/>
        <v>1703245.6875</v>
      </c>
      <c r="AM348" s="2"/>
    </row>
    <row r="349" spans="1:39" x14ac:dyDescent="0.45">
      <c r="A349">
        <v>97</v>
      </c>
      <c r="B349">
        <v>85643.4453125</v>
      </c>
      <c r="C349">
        <v>42371.3671875</v>
      </c>
      <c r="D349">
        <v>47867.515625</v>
      </c>
      <c r="E349">
        <v>85802.78125</v>
      </c>
      <c r="F349">
        <v>102955.140625</v>
      </c>
      <c r="G349">
        <v>54492.703125</v>
      </c>
      <c r="H349">
        <v>173562.859375</v>
      </c>
      <c r="I349">
        <v>177129.1875</v>
      </c>
      <c r="J349">
        <v>184473.453125</v>
      </c>
      <c r="K349">
        <v>242169.5625</v>
      </c>
      <c r="L349">
        <v>27778.66015625</v>
      </c>
      <c r="M349">
        <v>126260.7265625</v>
      </c>
      <c r="N349">
        <v>77361.0703125</v>
      </c>
      <c r="O349">
        <v>78191.234375</v>
      </c>
      <c r="U349" s="2">
        <v>2.0833333333333332E-2</v>
      </c>
      <c r="V349">
        <v>85643.4453125</v>
      </c>
      <c r="W349">
        <v>42371.3671875</v>
      </c>
      <c r="X349">
        <v>47867.515625</v>
      </c>
      <c r="Y349">
        <v>85802.78125</v>
      </c>
      <c r="Z349">
        <v>102955.140625</v>
      </c>
      <c r="AA349">
        <v>54492.703125</v>
      </c>
      <c r="AB349">
        <v>173562.859375</v>
      </c>
      <c r="AC349">
        <v>177129.1875</v>
      </c>
      <c r="AD349">
        <v>184473.453125</v>
      </c>
      <c r="AE349">
        <v>242169.5625</v>
      </c>
      <c r="AF349">
        <v>27778.66015625</v>
      </c>
      <c r="AG349">
        <v>126260.7265625</v>
      </c>
      <c r="AH349">
        <v>77361.0703125</v>
      </c>
      <c r="AI349">
        <v>78191.234375</v>
      </c>
      <c r="AK349">
        <f t="shared" si="19"/>
        <v>1506059.70703125</v>
      </c>
      <c r="AM349" s="2"/>
    </row>
    <row r="350" spans="1:39" x14ac:dyDescent="0.45">
      <c r="A350">
        <v>98</v>
      </c>
      <c r="B350">
        <v>86940.75</v>
      </c>
      <c r="C350">
        <v>37658.6875</v>
      </c>
      <c r="D350">
        <v>44671.6484375</v>
      </c>
      <c r="E350">
        <v>84592.078125</v>
      </c>
      <c r="F350">
        <v>97456.90625</v>
      </c>
      <c r="G350">
        <v>57781.7265625</v>
      </c>
      <c r="H350">
        <v>168962.640625</v>
      </c>
      <c r="I350">
        <v>172005.484375</v>
      </c>
      <c r="J350">
        <v>180202.734375</v>
      </c>
      <c r="K350">
        <v>240440.796875</v>
      </c>
      <c r="L350">
        <v>25197.8203125</v>
      </c>
      <c r="M350">
        <v>123193.71875</v>
      </c>
      <c r="N350">
        <v>66374.3359375</v>
      </c>
      <c r="O350">
        <v>70318.6796875</v>
      </c>
      <c r="U350" s="2">
        <v>4.1666666666666664E-2</v>
      </c>
      <c r="V350">
        <v>86940.75</v>
      </c>
      <c r="W350">
        <v>37658.6875</v>
      </c>
      <c r="X350">
        <v>44671.6484375</v>
      </c>
      <c r="Y350">
        <v>84592.078125</v>
      </c>
      <c r="Z350">
        <v>97456.90625</v>
      </c>
      <c r="AA350">
        <v>57781.7265625</v>
      </c>
      <c r="AB350">
        <v>168962.640625</v>
      </c>
      <c r="AC350">
        <v>172005.484375</v>
      </c>
      <c r="AD350">
        <v>180202.734375</v>
      </c>
      <c r="AE350">
        <v>240440.796875</v>
      </c>
      <c r="AF350">
        <v>25197.8203125</v>
      </c>
      <c r="AG350">
        <v>123193.71875</v>
      </c>
      <c r="AH350">
        <v>66374.3359375</v>
      </c>
      <c r="AI350">
        <v>70318.6796875</v>
      </c>
      <c r="AK350">
        <f t="shared" si="19"/>
        <v>1455798.0078125</v>
      </c>
      <c r="AM350" s="2"/>
    </row>
    <row r="351" spans="1:39" x14ac:dyDescent="0.45">
      <c r="A351">
        <v>99</v>
      </c>
      <c r="B351">
        <v>81958.765625</v>
      </c>
      <c r="C351">
        <v>35651.375</v>
      </c>
      <c r="D351">
        <v>38681.37890625</v>
      </c>
      <c r="E351">
        <v>73845.7265625</v>
      </c>
      <c r="F351">
        <v>91597.4921875</v>
      </c>
      <c r="G351">
        <v>51496.125</v>
      </c>
      <c r="H351">
        <v>156122.671875</v>
      </c>
      <c r="I351">
        <v>159556.90625</v>
      </c>
      <c r="J351">
        <v>163144.203125</v>
      </c>
      <c r="K351">
        <v>222073.65625</v>
      </c>
      <c r="L351">
        <v>25744.021484375</v>
      </c>
      <c r="M351">
        <v>109107.21875</v>
      </c>
      <c r="N351">
        <v>66998.515625</v>
      </c>
      <c r="O351">
        <v>69802.5390625</v>
      </c>
      <c r="U351" s="2">
        <v>6.25E-2</v>
      </c>
      <c r="V351">
        <v>81958.765625</v>
      </c>
      <c r="W351">
        <v>35651.375</v>
      </c>
      <c r="X351">
        <v>38681.37890625</v>
      </c>
      <c r="Y351">
        <v>73845.7265625</v>
      </c>
      <c r="Z351">
        <v>91597.4921875</v>
      </c>
      <c r="AA351">
        <v>51496.125</v>
      </c>
      <c r="AB351">
        <v>156122.671875</v>
      </c>
      <c r="AC351">
        <v>159556.90625</v>
      </c>
      <c r="AD351">
        <v>163144.203125</v>
      </c>
      <c r="AE351">
        <v>222073.65625</v>
      </c>
      <c r="AF351">
        <v>25744.021484375</v>
      </c>
      <c r="AG351">
        <v>109107.21875</v>
      </c>
      <c r="AH351">
        <v>66998.515625</v>
      </c>
      <c r="AI351">
        <v>69802.5390625</v>
      </c>
      <c r="AK351">
        <f t="shared" si="19"/>
        <v>1345780.595703125</v>
      </c>
      <c r="AM351" s="2"/>
    </row>
    <row r="352" spans="1:39" x14ac:dyDescent="0.45">
      <c r="A352">
        <v>100</v>
      </c>
      <c r="B352">
        <v>72225.5390625</v>
      </c>
      <c r="C352">
        <v>33138.98828125</v>
      </c>
      <c r="D352">
        <v>32989.921875</v>
      </c>
      <c r="E352">
        <v>70103.6015625</v>
      </c>
      <c r="F352">
        <v>80869.78125</v>
      </c>
      <c r="G352">
        <v>47663.109375</v>
      </c>
      <c r="H352">
        <v>140348.765625</v>
      </c>
      <c r="I352">
        <v>150333.109375</v>
      </c>
      <c r="J352">
        <v>148308.703125</v>
      </c>
      <c r="K352">
        <v>205127.1875</v>
      </c>
      <c r="L352">
        <v>24773.720703125</v>
      </c>
      <c r="M352">
        <v>101880.8359375</v>
      </c>
      <c r="N352">
        <v>60735.1328125</v>
      </c>
      <c r="O352">
        <v>64736.87109375</v>
      </c>
      <c r="U352" s="2">
        <v>8.3333333333333329E-2</v>
      </c>
      <c r="V352">
        <v>72225.5390625</v>
      </c>
      <c r="W352">
        <v>33138.98828125</v>
      </c>
      <c r="X352">
        <v>32989.921875</v>
      </c>
      <c r="Y352">
        <v>70103.6015625</v>
      </c>
      <c r="Z352">
        <v>80869.78125</v>
      </c>
      <c r="AA352">
        <v>47663.109375</v>
      </c>
      <c r="AB352">
        <v>140348.765625</v>
      </c>
      <c r="AC352">
        <v>150333.109375</v>
      </c>
      <c r="AD352">
        <v>148308.703125</v>
      </c>
      <c r="AE352">
        <v>205127.1875</v>
      </c>
      <c r="AF352">
        <v>24773.720703125</v>
      </c>
      <c r="AG352">
        <v>101880.8359375</v>
      </c>
      <c r="AH352">
        <v>60735.1328125</v>
      </c>
      <c r="AI352">
        <v>64736.87109375</v>
      </c>
      <c r="AK352">
        <f t="shared" si="19"/>
        <v>1233235.267578125</v>
      </c>
      <c r="AM352" s="2"/>
    </row>
    <row r="353" spans="1:39" x14ac:dyDescent="0.45">
      <c r="A353">
        <v>101</v>
      </c>
      <c r="B353">
        <v>70005.75</v>
      </c>
      <c r="C353">
        <v>28441.314453125</v>
      </c>
      <c r="D353">
        <v>34831.48828125</v>
      </c>
      <c r="E353">
        <v>72596.71875</v>
      </c>
      <c r="F353">
        <v>72713.0859375</v>
      </c>
      <c r="G353">
        <v>54876.78515625</v>
      </c>
      <c r="H353">
        <v>134105.5625</v>
      </c>
      <c r="I353">
        <v>158874.71875</v>
      </c>
      <c r="J353">
        <v>143878.375</v>
      </c>
      <c r="K353">
        <v>209093.8125</v>
      </c>
      <c r="L353">
        <v>22521.03125</v>
      </c>
      <c r="M353">
        <v>108679.1015625</v>
      </c>
      <c r="N353">
        <v>57196.18359375</v>
      </c>
      <c r="O353">
        <v>64084.703125</v>
      </c>
      <c r="U353" s="2">
        <v>0.10416666666666667</v>
      </c>
      <c r="V353">
        <v>70005.75</v>
      </c>
      <c r="W353">
        <v>28441.314453125</v>
      </c>
      <c r="X353">
        <v>34831.48828125</v>
      </c>
      <c r="Y353">
        <v>72596.71875</v>
      </c>
      <c r="Z353">
        <v>72713.0859375</v>
      </c>
      <c r="AA353">
        <v>54876.78515625</v>
      </c>
      <c r="AB353">
        <v>134105.5625</v>
      </c>
      <c r="AC353">
        <v>158874.71875</v>
      </c>
      <c r="AD353">
        <v>143878.375</v>
      </c>
      <c r="AE353">
        <v>209093.8125</v>
      </c>
      <c r="AF353">
        <v>22521.03125</v>
      </c>
      <c r="AG353">
        <v>108679.1015625</v>
      </c>
      <c r="AH353">
        <v>57196.18359375</v>
      </c>
      <c r="AI353">
        <v>64084.703125</v>
      </c>
      <c r="AK353">
        <f t="shared" si="19"/>
        <v>1231898.630859375</v>
      </c>
      <c r="AM353" s="2"/>
    </row>
    <row r="354" spans="1:39" x14ac:dyDescent="0.45">
      <c r="A354">
        <v>102</v>
      </c>
      <c r="B354">
        <v>64794.8984375</v>
      </c>
      <c r="C354">
        <v>36512.73828125</v>
      </c>
      <c r="D354">
        <v>39642.4375</v>
      </c>
      <c r="E354">
        <v>65840.7578125</v>
      </c>
      <c r="F354">
        <v>83723</v>
      </c>
      <c r="G354">
        <v>53196.40234375</v>
      </c>
      <c r="H354">
        <v>140448.484375</v>
      </c>
      <c r="I354">
        <v>147064.421875</v>
      </c>
      <c r="J354">
        <v>147618.234375</v>
      </c>
      <c r="K354">
        <v>192971.734375</v>
      </c>
      <c r="L354">
        <v>24535.62890625</v>
      </c>
      <c r="M354">
        <v>112386.3046875</v>
      </c>
      <c r="N354">
        <v>52414.97265625</v>
      </c>
      <c r="O354">
        <v>56672.31640625</v>
      </c>
      <c r="U354" s="2">
        <v>0.125</v>
      </c>
      <c r="V354">
        <v>64794.8984375</v>
      </c>
      <c r="W354">
        <v>36512.73828125</v>
      </c>
      <c r="X354">
        <v>39642.4375</v>
      </c>
      <c r="Y354">
        <v>65840.7578125</v>
      </c>
      <c r="Z354">
        <v>83723</v>
      </c>
      <c r="AA354">
        <v>53196.40234375</v>
      </c>
      <c r="AB354">
        <v>140448.484375</v>
      </c>
      <c r="AC354">
        <v>147064.421875</v>
      </c>
      <c r="AD354">
        <v>147618.234375</v>
      </c>
      <c r="AE354">
        <v>192971.734375</v>
      </c>
      <c r="AF354">
        <v>24535.62890625</v>
      </c>
      <c r="AG354">
        <v>112386.3046875</v>
      </c>
      <c r="AH354">
        <v>52414.97265625</v>
      </c>
      <c r="AI354">
        <v>56672.31640625</v>
      </c>
      <c r="AK354">
        <f t="shared" si="19"/>
        <v>1217822.33203125</v>
      </c>
      <c r="AM354" s="2"/>
    </row>
    <row r="355" spans="1:39" x14ac:dyDescent="0.45">
      <c r="A355">
        <v>103</v>
      </c>
      <c r="B355">
        <v>61271.2890625</v>
      </c>
      <c r="C355">
        <v>32592.52734375</v>
      </c>
      <c r="D355">
        <v>38708.62109375</v>
      </c>
      <c r="E355">
        <v>58511.94921875</v>
      </c>
      <c r="F355">
        <v>78651.5625</v>
      </c>
      <c r="G355">
        <v>49661.8828125</v>
      </c>
      <c r="H355">
        <v>133065.359375</v>
      </c>
      <c r="I355">
        <v>136876.796875</v>
      </c>
      <c r="J355">
        <v>136037.21875</v>
      </c>
      <c r="K355">
        <v>181194.046875</v>
      </c>
      <c r="L355">
        <v>22757.10546875</v>
      </c>
      <c r="M355">
        <v>106248.15625</v>
      </c>
      <c r="N355">
        <v>51299.3203125</v>
      </c>
      <c r="O355">
        <v>55965.98046875</v>
      </c>
      <c r="U355" s="2">
        <v>0.14583333333333334</v>
      </c>
      <c r="V355">
        <v>61271.2890625</v>
      </c>
      <c r="W355">
        <v>32592.52734375</v>
      </c>
      <c r="X355">
        <v>38708.62109375</v>
      </c>
      <c r="Y355">
        <v>58511.94921875</v>
      </c>
      <c r="Z355">
        <v>78651.5625</v>
      </c>
      <c r="AA355">
        <v>49661.8828125</v>
      </c>
      <c r="AB355">
        <v>133065.359375</v>
      </c>
      <c r="AC355">
        <v>136876.796875</v>
      </c>
      <c r="AD355">
        <v>136037.21875</v>
      </c>
      <c r="AE355">
        <v>181194.046875</v>
      </c>
      <c r="AF355">
        <v>22757.10546875</v>
      </c>
      <c r="AG355">
        <v>106248.15625</v>
      </c>
      <c r="AH355">
        <v>51299.3203125</v>
      </c>
      <c r="AI355">
        <v>55965.98046875</v>
      </c>
      <c r="AK355">
        <f t="shared" si="19"/>
        <v>1142841.81640625</v>
      </c>
      <c r="AM355" s="2"/>
    </row>
    <row r="356" spans="1:39" x14ac:dyDescent="0.45">
      <c r="A356">
        <v>104</v>
      </c>
      <c r="B356">
        <v>61292.95703125</v>
      </c>
      <c r="C356">
        <v>30029.662109375</v>
      </c>
      <c r="D356">
        <v>37914.04296875</v>
      </c>
      <c r="E356">
        <v>58882.0703125</v>
      </c>
      <c r="F356">
        <v>75410.1015625</v>
      </c>
      <c r="G356">
        <v>41258.15625</v>
      </c>
      <c r="H356">
        <v>129530.390625</v>
      </c>
      <c r="I356">
        <v>121835.4140625</v>
      </c>
      <c r="J356">
        <v>132596.40625</v>
      </c>
      <c r="K356">
        <v>166963.03125</v>
      </c>
      <c r="L356">
        <v>18395.748046875</v>
      </c>
      <c r="M356">
        <v>98357.5703125</v>
      </c>
      <c r="N356">
        <v>46239.2734375</v>
      </c>
      <c r="O356">
        <v>49447.8515625</v>
      </c>
      <c r="U356" s="2">
        <v>0.16666666666666666</v>
      </c>
      <c r="V356">
        <v>61292.95703125</v>
      </c>
      <c r="W356">
        <v>30029.662109375</v>
      </c>
      <c r="X356">
        <v>37914.04296875</v>
      </c>
      <c r="Y356">
        <v>58882.0703125</v>
      </c>
      <c r="Z356">
        <v>75410.1015625</v>
      </c>
      <c r="AA356">
        <v>41258.15625</v>
      </c>
      <c r="AB356">
        <v>129530.390625</v>
      </c>
      <c r="AC356">
        <v>121835.4140625</v>
      </c>
      <c r="AD356">
        <v>132596.40625</v>
      </c>
      <c r="AE356">
        <v>166963.03125</v>
      </c>
      <c r="AF356">
        <v>18395.748046875</v>
      </c>
      <c r="AG356">
        <v>98357.5703125</v>
      </c>
      <c r="AH356">
        <v>46239.2734375</v>
      </c>
      <c r="AI356">
        <v>49447.8515625</v>
      </c>
      <c r="AK356">
        <f t="shared" si="19"/>
        <v>1068152.67578125</v>
      </c>
      <c r="AM356" s="2"/>
    </row>
    <row r="357" spans="1:39" x14ac:dyDescent="0.45">
      <c r="A357">
        <v>105</v>
      </c>
      <c r="B357">
        <v>58210.78515625</v>
      </c>
      <c r="C357">
        <v>27070.294921875</v>
      </c>
      <c r="D357">
        <v>33287.04296875</v>
      </c>
      <c r="E357">
        <v>58967.5625</v>
      </c>
      <c r="F357">
        <v>64532.515625</v>
      </c>
      <c r="G357">
        <v>40817.95703125</v>
      </c>
      <c r="H357">
        <v>119137.890625</v>
      </c>
      <c r="I357">
        <v>125364.796875</v>
      </c>
      <c r="J357">
        <v>121165.640625</v>
      </c>
      <c r="K357">
        <v>164328.03125</v>
      </c>
      <c r="L357">
        <v>20604.435546875</v>
      </c>
      <c r="M357">
        <v>90363.5390625</v>
      </c>
      <c r="N357">
        <v>47641.66015625</v>
      </c>
      <c r="O357">
        <v>50803.7578125</v>
      </c>
      <c r="U357" s="2">
        <v>0.1875</v>
      </c>
      <c r="V357">
        <v>58210.78515625</v>
      </c>
      <c r="W357">
        <v>27070.294921875</v>
      </c>
      <c r="X357">
        <v>33287.04296875</v>
      </c>
      <c r="Y357">
        <v>58967.5625</v>
      </c>
      <c r="Z357">
        <v>64532.515625</v>
      </c>
      <c r="AA357">
        <v>40817.95703125</v>
      </c>
      <c r="AB357">
        <v>119137.890625</v>
      </c>
      <c r="AC357">
        <v>125364.796875</v>
      </c>
      <c r="AD357">
        <v>121165.640625</v>
      </c>
      <c r="AE357">
        <v>164328.03125</v>
      </c>
      <c r="AF357">
        <v>20604.435546875</v>
      </c>
      <c r="AG357">
        <v>90363.5390625</v>
      </c>
      <c r="AH357">
        <v>47641.66015625</v>
      </c>
      <c r="AI357">
        <v>50803.7578125</v>
      </c>
      <c r="AK357">
        <f t="shared" si="19"/>
        <v>1022295.91015625</v>
      </c>
      <c r="AM357" s="2"/>
    </row>
    <row r="358" spans="1:39" x14ac:dyDescent="0.45">
      <c r="A358">
        <v>106</v>
      </c>
      <c r="B358">
        <v>59040.42578125</v>
      </c>
      <c r="C358">
        <v>25187.142578125</v>
      </c>
      <c r="D358">
        <v>29997.546875</v>
      </c>
      <c r="E358">
        <v>58719.14453125</v>
      </c>
      <c r="F358">
        <v>58808.09375</v>
      </c>
      <c r="G358">
        <v>37273.265625</v>
      </c>
      <c r="H358">
        <v>114862.875</v>
      </c>
      <c r="I358">
        <v>121313.328125</v>
      </c>
      <c r="J358">
        <v>116696.5546875</v>
      </c>
      <c r="K358">
        <v>162783.71875</v>
      </c>
      <c r="L358">
        <v>20328.34765625</v>
      </c>
      <c r="M358">
        <v>85077.53125</v>
      </c>
      <c r="N358">
        <v>45039.02734375</v>
      </c>
      <c r="O358">
        <v>53056.0078125</v>
      </c>
      <c r="U358" s="2">
        <v>0.20833333333333334</v>
      </c>
      <c r="V358">
        <v>59040.42578125</v>
      </c>
      <c r="W358">
        <v>25187.142578125</v>
      </c>
      <c r="X358">
        <v>29997.546875</v>
      </c>
      <c r="Y358">
        <v>58719.14453125</v>
      </c>
      <c r="Z358">
        <v>58808.09375</v>
      </c>
      <c r="AA358">
        <v>37273.265625</v>
      </c>
      <c r="AB358">
        <v>114862.875</v>
      </c>
      <c r="AC358">
        <v>121313.328125</v>
      </c>
      <c r="AD358">
        <v>116696.5546875</v>
      </c>
      <c r="AE358">
        <v>162783.71875</v>
      </c>
      <c r="AF358">
        <v>20328.34765625</v>
      </c>
      <c r="AG358">
        <v>85077.53125</v>
      </c>
      <c r="AH358">
        <v>45039.02734375</v>
      </c>
      <c r="AI358">
        <v>53056.0078125</v>
      </c>
      <c r="AK358">
        <f t="shared" si="19"/>
        <v>988183.009765625</v>
      </c>
      <c r="AM358" s="2"/>
    </row>
    <row r="359" spans="1:39" x14ac:dyDescent="0.45">
      <c r="A359">
        <v>107</v>
      </c>
      <c r="B359">
        <v>56540.203125</v>
      </c>
      <c r="C359">
        <v>24774.10546875</v>
      </c>
      <c r="D359">
        <v>28280.896484375</v>
      </c>
      <c r="E359">
        <v>53787.17578125</v>
      </c>
      <c r="F359">
        <v>58538.83984375</v>
      </c>
      <c r="G359">
        <v>35626.78125</v>
      </c>
      <c r="H359">
        <v>109823.1796875</v>
      </c>
      <c r="I359">
        <v>112690.1484375</v>
      </c>
      <c r="J359">
        <v>111991.0546875</v>
      </c>
      <c r="K359">
        <v>152897.09375</v>
      </c>
      <c r="L359">
        <v>20270.322265625</v>
      </c>
      <c r="M359">
        <v>80591.9921875</v>
      </c>
      <c r="N359">
        <v>41384.0078125</v>
      </c>
      <c r="O359">
        <v>49553.98046875</v>
      </c>
      <c r="U359" s="2">
        <v>0.22916666666666666</v>
      </c>
      <c r="V359">
        <v>56540.203125</v>
      </c>
      <c r="W359">
        <v>24774.10546875</v>
      </c>
      <c r="X359">
        <v>28280.896484375</v>
      </c>
      <c r="Y359">
        <v>53787.17578125</v>
      </c>
      <c r="Z359">
        <v>58538.83984375</v>
      </c>
      <c r="AA359">
        <v>35626.78125</v>
      </c>
      <c r="AB359">
        <v>109823.1796875</v>
      </c>
      <c r="AC359">
        <v>112690.1484375</v>
      </c>
      <c r="AD359">
        <v>111991.0546875</v>
      </c>
      <c r="AE359">
        <v>152897.09375</v>
      </c>
      <c r="AF359">
        <v>20270.322265625</v>
      </c>
      <c r="AG359">
        <v>80591.9921875</v>
      </c>
      <c r="AH359">
        <v>41384.0078125</v>
      </c>
      <c r="AI359">
        <v>49553.98046875</v>
      </c>
      <c r="AK359">
        <f t="shared" si="19"/>
        <v>936749.78125</v>
      </c>
      <c r="AM359" s="2"/>
    </row>
    <row r="360" spans="1:39" x14ac:dyDescent="0.45">
      <c r="A360">
        <v>108</v>
      </c>
      <c r="B360">
        <v>51026.74609375</v>
      </c>
      <c r="C360">
        <v>23243.1875</v>
      </c>
      <c r="D360">
        <v>25521.138671875</v>
      </c>
      <c r="E360">
        <v>50269.45703125</v>
      </c>
      <c r="F360">
        <v>54527.40234375</v>
      </c>
      <c r="G360">
        <v>28181.1953125</v>
      </c>
      <c r="H360">
        <v>101447.0625</v>
      </c>
      <c r="I360">
        <v>101052.0546875</v>
      </c>
      <c r="J360">
        <v>104819.5</v>
      </c>
      <c r="K360">
        <v>139191.265625</v>
      </c>
      <c r="L360">
        <v>19340.046875</v>
      </c>
      <c r="M360">
        <v>69962.59375</v>
      </c>
      <c r="N360">
        <v>40819.93359375</v>
      </c>
      <c r="O360">
        <v>46999.1796875</v>
      </c>
      <c r="U360" s="2">
        <v>0.25</v>
      </c>
      <c r="V360">
        <v>51026.74609375</v>
      </c>
      <c r="W360">
        <v>23243.1875</v>
      </c>
      <c r="X360">
        <v>25521.138671875</v>
      </c>
      <c r="Y360">
        <v>50269.45703125</v>
      </c>
      <c r="Z360">
        <v>54527.40234375</v>
      </c>
      <c r="AA360">
        <v>28181.1953125</v>
      </c>
      <c r="AB360">
        <v>101447.0625</v>
      </c>
      <c r="AC360">
        <v>101052.0546875</v>
      </c>
      <c r="AD360">
        <v>104819.5</v>
      </c>
      <c r="AE360">
        <v>139191.265625</v>
      </c>
      <c r="AF360">
        <v>19340.046875</v>
      </c>
      <c r="AG360">
        <v>69962.59375</v>
      </c>
      <c r="AH360">
        <v>40819.93359375</v>
      </c>
      <c r="AI360">
        <v>46999.1796875</v>
      </c>
      <c r="AK360">
        <f t="shared" si="19"/>
        <v>856400.763671875</v>
      </c>
      <c r="AM360" s="2"/>
    </row>
    <row r="361" spans="1:39" x14ac:dyDescent="0.45">
      <c r="A361">
        <v>109</v>
      </c>
      <c r="B361">
        <v>47498.890625</v>
      </c>
      <c r="C361">
        <v>21069.015625</v>
      </c>
      <c r="D361">
        <v>22645.412109375</v>
      </c>
      <c r="E361">
        <v>46342.46875</v>
      </c>
      <c r="F361">
        <v>50538.75390625</v>
      </c>
      <c r="G361">
        <v>23748.6484375</v>
      </c>
      <c r="H361">
        <v>93767.8359375</v>
      </c>
      <c r="I361">
        <v>89501.9296875</v>
      </c>
      <c r="J361">
        <v>96565.46875</v>
      </c>
      <c r="K361">
        <v>128371.125</v>
      </c>
      <c r="L361">
        <v>16217.06640625</v>
      </c>
      <c r="M361">
        <v>62512.19921875</v>
      </c>
      <c r="N361">
        <v>37831.19921875</v>
      </c>
      <c r="O361">
        <v>44482.375</v>
      </c>
      <c r="U361" s="2">
        <v>0.27083333333333331</v>
      </c>
      <c r="V361">
        <v>47498.890625</v>
      </c>
      <c r="W361">
        <v>21069.015625</v>
      </c>
      <c r="X361">
        <v>22645.412109375</v>
      </c>
      <c r="Y361">
        <v>46342.46875</v>
      </c>
      <c r="Z361">
        <v>50538.75390625</v>
      </c>
      <c r="AA361">
        <v>23748.6484375</v>
      </c>
      <c r="AB361">
        <v>93767.8359375</v>
      </c>
      <c r="AC361">
        <v>89501.9296875</v>
      </c>
      <c r="AD361">
        <v>96565.46875</v>
      </c>
      <c r="AE361">
        <v>128371.125</v>
      </c>
      <c r="AF361">
        <v>16217.06640625</v>
      </c>
      <c r="AG361">
        <v>62512.19921875</v>
      </c>
      <c r="AH361">
        <v>37831.19921875</v>
      </c>
      <c r="AI361">
        <v>44482.375</v>
      </c>
      <c r="AK361">
        <f t="shared" si="19"/>
        <v>781092.388671875</v>
      </c>
      <c r="AM361" s="2"/>
    </row>
    <row r="362" spans="1:39" x14ac:dyDescent="0.45">
      <c r="A362">
        <v>110</v>
      </c>
      <c r="B362">
        <v>51627.859375</v>
      </c>
      <c r="C362">
        <v>20376.66796875</v>
      </c>
      <c r="D362">
        <v>25279.064453125</v>
      </c>
      <c r="E362">
        <v>41208.765625</v>
      </c>
      <c r="F362">
        <v>59915.2578125</v>
      </c>
      <c r="G362">
        <v>23336.818359375</v>
      </c>
      <c r="H362">
        <v>99215.7109375</v>
      </c>
      <c r="I362">
        <v>85716.5390625</v>
      </c>
      <c r="J362">
        <v>101459.078125</v>
      </c>
      <c r="K362">
        <v>128365.3125</v>
      </c>
      <c r="L362">
        <v>14517.3076171875</v>
      </c>
      <c r="M362">
        <v>62556.12109375</v>
      </c>
      <c r="N362">
        <v>38137.4296875</v>
      </c>
      <c r="O362">
        <v>41759.44140625</v>
      </c>
      <c r="U362" s="2">
        <v>0.29166666666666669</v>
      </c>
      <c r="V362">
        <v>51627.859375</v>
      </c>
      <c r="W362">
        <v>20376.66796875</v>
      </c>
      <c r="X362">
        <v>25279.064453125</v>
      </c>
      <c r="Y362">
        <v>41208.765625</v>
      </c>
      <c r="Z362">
        <v>59915.2578125</v>
      </c>
      <c r="AA362">
        <v>23336.818359375</v>
      </c>
      <c r="AB362">
        <v>99215.7109375</v>
      </c>
      <c r="AC362">
        <v>85716.5390625</v>
      </c>
      <c r="AD362">
        <v>101459.078125</v>
      </c>
      <c r="AE362">
        <v>128365.3125</v>
      </c>
      <c r="AF362">
        <v>14517.3076171875</v>
      </c>
      <c r="AG362">
        <v>62556.12109375</v>
      </c>
      <c r="AH362">
        <v>38137.4296875</v>
      </c>
      <c r="AI362">
        <v>41759.44140625</v>
      </c>
      <c r="AK362">
        <f t="shared" si="19"/>
        <v>793471.3740234375</v>
      </c>
      <c r="AM362" s="2"/>
    </row>
    <row r="363" spans="1:39" x14ac:dyDescent="0.45">
      <c r="A363">
        <v>111</v>
      </c>
      <c r="B363">
        <v>41042.796875</v>
      </c>
      <c r="C363">
        <v>18642.712890625</v>
      </c>
      <c r="D363">
        <v>20600.626953125</v>
      </c>
      <c r="E363">
        <v>34653.0234375</v>
      </c>
      <c r="F363">
        <v>46907.15234375</v>
      </c>
      <c r="G363">
        <v>22882.279296875</v>
      </c>
      <c r="H363">
        <v>80428.4609375</v>
      </c>
      <c r="I363">
        <v>82223.6015625</v>
      </c>
      <c r="J363">
        <v>82359.8984375</v>
      </c>
      <c r="K363">
        <v>112815.03125</v>
      </c>
      <c r="L363">
        <v>13431.9306640625</v>
      </c>
      <c r="M363">
        <v>56232.11328125</v>
      </c>
      <c r="N363">
        <v>42698.3203125</v>
      </c>
      <c r="O363">
        <v>40981.19921875</v>
      </c>
      <c r="U363" s="2">
        <v>0.3125</v>
      </c>
      <c r="V363">
        <v>41042.796875</v>
      </c>
      <c r="W363">
        <v>18642.712890625</v>
      </c>
      <c r="X363">
        <v>20600.626953125</v>
      </c>
      <c r="Y363">
        <v>34653.0234375</v>
      </c>
      <c r="Z363">
        <v>46907.15234375</v>
      </c>
      <c r="AA363">
        <v>22882.279296875</v>
      </c>
      <c r="AB363">
        <v>80428.4609375</v>
      </c>
      <c r="AC363">
        <v>82223.6015625</v>
      </c>
      <c r="AD363">
        <v>82359.8984375</v>
      </c>
      <c r="AE363">
        <v>112815.03125</v>
      </c>
      <c r="AF363">
        <v>13431.9306640625</v>
      </c>
      <c r="AG363">
        <v>56232.11328125</v>
      </c>
      <c r="AH363">
        <v>42698.3203125</v>
      </c>
      <c r="AI363">
        <v>40981.19921875</v>
      </c>
      <c r="AK363">
        <f t="shared" si="19"/>
        <v>695899.1474609375</v>
      </c>
      <c r="AM363" s="2"/>
    </row>
    <row r="364" spans="1:39" x14ac:dyDescent="0.45">
      <c r="A364">
        <v>112</v>
      </c>
      <c r="B364">
        <v>29002.171875</v>
      </c>
      <c r="C364">
        <v>15406.603515625</v>
      </c>
      <c r="D364">
        <v>18203.513671875</v>
      </c>
      <c r="E364">
        <v>26564.3828125</v>
      </c>
      <c r="F364">
        <v>31085.13671875</v>
      </c>
      <c r="G364">
        <v>22928.55078125</v>
      </c>
      <c r="H364">
        <v>60479.76171875</v>
      </c>
      <c r="I364">
        <v>56738.25390625</v>
      </c>
      <c r="J364">
        <v>59029.1015625</v>
      </c>
      <c r="K364">
        <v>75679.015625</v>
      </c>
      <c r="L364">
        <v>10929.0029296875</v>
      </c>
      <c r="M364">
        <v>47905.46875</v>
      </c>
      <c r="N364">
        <v>34380.4140625</v>
      </c>
      <c r="O364">
        <v>23543.6015625</v>
      </c>
      <c r="U364" s="2">
        <v>0.33333333333333331</v>
      </c>
      <c r="V364">
        <v>29002.171875</v>
      </c>
      <c r="W364">
        <v>15406.603515625</v>
      </c>
      <c r="X364">
        <v>18203.513671875</v>
      </c>
      <c r="Y364">
        <v>26564.3828125</v>
      </c>
      <c r="Z364">
        <v>31085.13671875</v>
      </c>
      <c r="AA364">
        <v>22928.55078125</v>
      </c>
      <c r="AB364">
        <v>60479.76171875</v>
      </c>
      <c r="AC364">
        <v>56738.25390625</v>
      </c>
      <c r="AD364">
        <v>59029.1015625</v>
      </c>
      <c r="AE364">
        <v>75679.015625</v>
      </c>
      <c r="AF364">
        <v>10929.0029296875</v>
      </c>
      <c r="AG364">
        <v>47905.46875</v>
      </c>
      <c r="AH364">
        <v>34380.4140625</v>
      </c>
      <c r="AI364">
        <v>23543.6015625</v>
      </c>
      <c r="AK364">
        <f t="shared" si="19"/>
        <v>511874.9794921875</v>
      </c>
      <c r="AM364" s="2"/>
    </row>
    <row r="365" spans="1:39" x14ac:dyDescent="0.45">
      <c r="A365">
        <v>113</v>
      </c>
      <c r="B365">
        <v>27488.4921875</v>
      </c>
      <c r="C365">
        <v>11912.5419921875</v>
      </c>
      <c r="D365">
        <v>13507.0400390625</v>
      </c>
      <c r="E365">
        <v>24669.5859375</v>
      </c>
      <c r="F365">
        <v>23894.470703125</v>
      </c>
      <c r="G365">
        <v>18249.60546875</v>
      </c>
      <c r="H365">
        <v>53308.453125</v>
      </c>
      <c r="I365">
        <v>45594.27734375</v>
      </c>
      <c r="J365">
        <v>51670.12890625</v>
      </c>
      <c r="K365">
        <v>65356.9140625</v>
      </c>
      <c r="L365">
        <v>11475.935546875</v>
      </c>
      <c r="M365">
        <v>37083.9609375</v>
      </c>
      <c r="N365">
        <v>34856.5</v>
      </c>
      <c r="O365">
        <v>20036.462890625</v>
      </c>
      <c r="U365" s="2">
        <v>0.35416666666666669</v>
      </c>
      <c r="V365">
        <v>27488.4921875</v>
      </c>
      <c r="W365">
        <v>11912.5419921875</v>
      </c>
      <c r="X365">
        <v>13507.0400390625</v>
      </c>
      <c r="Y365">
        <v>24669.5859375</v>
      </c>
      <c r="Z365">
        <v>23894.470703125</v>
      </c>
      <c r="AA365">
        <v>18249.60546875</v>
      </c>
      <c r="AB365">
        <v>53308.453125</v>
      </c>
      <c r="AC365">
        <v>45594.27734375</v>
      </c>
      <c r="AD365">
        <v>51670.12890625</v>
      </c>
      <c r="AE365">
        <v>65356.9140625</v>
      </c>
      <c r="AF365">
        <v>11475.935546875</v>
      </c>
      <c r="AG365">
        <v>37083.9609375</v>
      </c>
      <c r="AH365">
        <v>34856.5</v>
      </c>
      <c r="AI365">
        <v>20036.462890625</v>
      </c>
      <c r="AK365">
        <f t="shared" si="19"/>
        <v>439104.369140625</v>
      </c>
      <c r="AM365" s="2"/>
    </row>
    <row r="366" spans="1:39" x14ac:dyDescent="0.45">
      <c r="A366">
        <v>114</v>
      </c>
      <c r="B366">
        <v>25491.015625</v>
      </c>
      <c r="C366">
        <v>8906.048828125</v>
      </c>
      <c r="D366">
        <v>8401.1220703125</v>
      </c>
      <c r="E366">
        <v>18981.560546875</v>
      </c>
      <c r="F366">
        <v>22308</v>
      </c>
      <c r="G366">
        <v>17531.462890625</v>
      </c>
      <c r="H366">
        <v>44446.3671875</v>
      </c>
      <c r="I366">
        <v>30610.927734375</v>
      </c>
      <c r="J366">
        <v>45484.33203125</v>
      </c>
      <c r="K366">
        <v>51430.16015625</v>
      </c>
      <c r="L366">
        <v>9016.8193359375</v>
      </c>
      <c r="M366">
        <v>29445.5</v>
      </c>
      <c r="N366">
        <v>34996.52734375</v>
      </c>
      <c r="O366">
        <v>11873.8310546875</v>
      </c>
      <c r="U366" s="2">
        <v>0.375</v>
      </c>
      <c r="V366">
        <v>25491.015625</v>
      </c>
      <c r="W366">
        <v>8906.048828125</v>
      </c>
      <c r="X366">
        <v>8401.1220703125</v>
      </c>
      <c r="Y366">
        <v>18981.560546875</v>
      </c>
      <c r="Z366">
        <v>22308</v>
      </c>
      <c r="AA366">
        <v>17531.462890625</v>
      </c>
      <c r="AB366">
        <v>44446.3671875</v>
      </c>
      <c r="AC366">
        <v>30610.927734375</v>
      </c>
      <c r="AD366">
        <v>45484.33203125</v>
      </c>
      <c r="AE366">
        <v>51430.16015625</v>
      </c>
      <c r="AF366">
        <v>9016.8193359375</v>
      </c>
      <c r="AG366">
        <v>29445.5</v>
      </c>
      <c r="AH366">
        <v>34996.52734375</v>
      </c>
      <c r="AI366">
        <v>11873.8310546875</v>
      </c>
      <c r="AK366">
        <f t="shared" si="19"/>
        <v>358923.6748046875</v>
      </c>
      <c r="AM366" s="2"/>
    </row>
    <row r="367" spans="1:39" x14ac:dyDescent="0.45">
      <c r="A367">
        <v>115</v>
      </c>
      <c r="B367">
        <v>19235.458984375</v>
      </c>
      <c r="C367">
        <v>4927.66650390625</v>
      </c>
      <c r="D367">
        <v>1225.220703125</v>
      </c>
      <c r="E367">
        <v>15272.033203125</v>
      </c>
      <c r="F367">
        <v>13090.705078125</v>
      </c>
      <c r="G367">
        <v>7505.4814453125</v>
      </c>
      <c r="H367">
        <v>29730.927734375</v>
      </c>
      <c r="I367">
        <v>13468.806640625</v>
      </c>
      <c r="J367">
        <v>32589.927734375</v>
      </c>
      <c r="K367">
        <v>31490.21484375</v>
      </c>
      <c r="L367">
        <v>7940.484375</v>
      </c>
      <c r="M367">
        <v>15110.876953125</v>
      </c>
      <c r="N367">
        <v>31683.7109375</v>
      </c>
      <c r="O367">
        <v>6228.01025390625</v>
      </c>
      <c r="U367" s="2">
        <v>0.39583333333333331</v>
      </c>
      <c r="V367">
        <v>19235.458984375</v>
      </c>
      <c r="W367">
        <v>4927.66650390625</v>
      </c>
      <c r="X367">
        <v>1225.220703125</v>
      </c>
      <c r="Y367">
        <v>15272.033203125</v>
      </c>
      <c r="Z367">
        <v>13090.705078125</v>
      </c>
      <c r="AA367">
        <v>7505.4814453125</v>
      </c>
      <c r="AB367">
        <v>29730.927734375</v>
      </c>
      <c r="AC367">
        <v>13468.806640625</v>
      </c>
      <c r="AD367">
        <v>32589.927734375</v>
      </c>
      <c r="AE367">
        <v>31490.21484375</v>
      </c>
      <c r="AF367">
        <v>7940.484375</v>
      </c>
      <c r="AG367">
        <v>15110.876953125</v>
      </c>
      <c r="AH367">
        <v>31683.7109375</v>
      </c>
      <c r="AI367">
        <v>6228.01025390625</v>
      </c>
      <c r="AK367">
        <f t="shared" si="19"/>
        <v>229499.525390625</v>
      </c>
      <c r="AM367" s="2"/>
    </row>
    <row r="368" spans="1:39" x14ac:dyDescent="0.45">
      <c r="A368">
        <v>116</v>
      </c>
      <c r="B368">
        <v>11018.50390625</v>
      </c>
      <c r="C368">
        <v>-1709.61791992187</v>
      </c>
      <c r="D368">
        <v>-598.35308837890602</v>
      </c>
      <c r="E368">
        <v>6506.01318359375</v>
      </c>
      <c r="F368">
        <v>2054.73852539062</v>
      </c>
      <c r="G368">
        <v>3872.76708984375</v>
      </c>
      <c r="H368">
        <v>13591.9091796875</v>
      </c>
      <c r="I368">
        <v>-1872.66870117187</v>
      </c>
      <c r="J368">
        <v>12433.0244140625</v>
      </c>
      <c r="K368">
        <v>11286.2353515625</v>
      </c>
      <c r="L368">
        <v>1432.44848632812</v>
      </c>
      <c r="M368">
        <v>6073.9619140625</v>
      </c>
      <c r="N368">
        <v>32141.82421875</v>
      </c>
      <c r="O368">
        <v>748.24169921875</v>
      </c>
      <c r="U368" s="2">
        <v>0.41666666666666669</v>
      </c>
      <c r="V368">
        <v>11018.50390625</v>
      </c>
      <c r="W368">
        <v>-1709.61791992187</v>
      </c>
      <c r="X368">
        <v>-598.35308837890602</v>
      </c>
      <c r="Y368">
        <v>6506.01318359375</v>
      </c>
      <c r="Z368">
        <v>2054.73852539062</v>
      </c>
      <c r="AA368">
        <v>3872.76708984375</v>
      </c>
      <c r="AB368">
        <v>13591.9091796875</v>
      </c>
      <c r="AC368">
        <v>-1872.66870117187</v>
      </c>
      <c r="AD368">
        <v>12433.0244140625</v>
      </c>
      <c r="AE368">
        <v>11286.2353515625</v>
      </c>
      <c r="AF368">
        <v>1432.44848632812</v>
      </c>
      <c r="AG368">
        <v>6073.9619140625</v>
      </c>
      <c r="AH368">
        <v>32141.82421875</v>
      </c>
      <c r="AI368">
        <v>748.24169921875</v>
      </c>
      <c r="AK368">
        <f t="shared" si="19"/>
        <v>96979.028259277344</v>
      </c>
      <c r="AM368" s="2"/>
    </row>
    <row r="369" spans="1:39" x14ac:dyDescent="0.45">
      <c r="A369">
        <v>117</v>
      </c>
      <c r="B369">
        <v>11281.7080078125</v>
      </c>
      <c r="C369">
        <v>-1493.88195800781</v>
      </c>
      <c r="D369">
        <v>-142.06277465820301</v>
      </c>
      <c r="E369">
        <v>5197.64990234375</v>
      </c>
      <c r="F369">
        <v>1750.62854003906</v>
      </c>
      <c r="G369">
        <v>-56.0110664367675</v>
      </c>
      <c r="H369">
        <v>12642.9384765625</v>
      </c>
      <c r="I369">
        <v>-13892.9609375</v>
      </c>
      <c r="J369">
        <v>15911.8701171875</v>
      </c>
      <c r="K369">
        <v>-2758.54516601562</v>
      </c>
      <c r="L369">
        <v>1218.38122558593</v>
      </c>
      <c r="M369">
        <v>84.027153015136705</v>
      </c>
      <c r="N369">
        <v>28058.826171875</v>
      </c>
      <c r="O369">
        <v>-8814.8486328125</v>
      </c>
      <c r="U369" s="2">
        <v>0.4375</v>
      </c>
      <c r="V369">
        <v>11281.7080078125</v>
      </c>
      <c r="W369">
        <v>-1493.88195800781</v>
      </c>
      <c r="X369">
        <v>-142.06277465820301</v>
      </c>
      <c r="Y369">
        <v>5197.64990234375</v>
      </c>
      <c r="Z369">
        <v>1750.62854003906</v>
      </c>
      <c r="AA369">
        <v>-56.0110664367675</v>
      </c>
      <c r="AB369">
        <v>12642.9384765625</v>
      </c>
      <c r="AC369">
        <v>-13892.9609375</v>
      </c>
      <c r="AD369">
        <v>15911.8701171875</v>
      </c>
      <c r="AE369">
        <v>-2758.54516601562</v>
      </c>
      <c r="AF369">
        <v>1218.38122558593</v>
      </c>
      <c r="AG369">
        <v>84.027153015136705</v>
      </c>
      <c r="AH369">
        <v>28058.826171875</v>
      </c>
      <c r="AI369">
        <v>-8814.8486328125</v>
      </c>
      <c r="AK369">
        <f t="shared" si="19"/>
        <v>48987.719058990479</v>
      </c>
      <c r="AM369" s="2"/>
    </row>
    <row r="370" spans="1:39" x14ac:dyDescent="0.45">
      <c r="A370">
        <v>118</v>
      </c>
      <c r="B370">
        <v>2838.73803710937</v>
      </c>
      <c r="C370">
        <v>-6345.21337890625</v>
      </c>
      <c r="D370">
        <v>-4449.94189453125</v>
      </c>
      <c r="E370">
        <v>1530.07788085937</v>
      </c>
      <c r="F370">
        <v>-12032.2138671875</v>
      </c>
      <c r="G370">
        <v>-2686.53100585937</v>
      </c>
      <c r="H370">
        <v>-5017.16552734375</v>
      </c>
      <c r="I370">
        <v>-21312.591796875</v>
      </c>
      <c r="J370">
        <v>646.15716552734295</v>
      </c>
      <c r="K370">
        <v>-16021.166015625</v>
      </c>
      <c r="L370">
        <v>-3034.94970703125</v>
      </c>
      <c r="M370">
        <v>-9515.0810546875</v>
      </c>
      <c r="N370">
        <v>29701.228515625</v>
      </c>
      <c r="O370">
        <v>-11287.65625</v>
      </c>
      <c r="U370" s="2">
        <v>0.45833333333333331</v>
      </c>
      <c r="V370">
        <v>2838.73803710937</v>
      </c>
      <c r="W370">
        <v>-6345.21337890625</v>
      </c>
      <c r="X370">
        <v>-4449.94189453125</v>
      </c>
      <c r="Y370">
        <v>1530.07788085937</v>
      </c>
      <c r="Z370">
        <v>-12032.2138671875</v>
      </c>
      <c r="AA370">
        <v>-2686.53100585937</v>
      </c>
      <c r="AB370">
        <v>-5017.16552734375</v>
      </c>
      <c r="AC370">
        <v>-21312.591796875</v>
      </c>
      <c r="AD370">
        <v>646.15716552734295</v>
      </c>
      <c r="AE370">
        <v>-16021.166015625</v>
      </c>
      <c r="AF370">
        <v>-3034.94970703125</v>
      </c>
      <c r="AG370">
        <v>-9515.0810546875</v>
      </c>
      <c r="AH370">
        <v>29701.228515625</v>
      </c>
      <c r="AI370">
        <v>-11287.65625</v>
      </c>
      <c r="AK370">
        <f t="shared" si="19"/>
        <v>-56986.308898925781</v>
      </c>
      <c r="AM370" s="2"/>
    </row>
    <row r="371" spans="1:39" x14ac:dyDescent="0.45">
      <c r="A371">
        <v>119</v>
      </c>
      <c r="B371">
        <v>-1817.24230957031</v>
      </c>
      <c r="C371">
        <v>-7846.130859375</v>
      </c>
      <c r="D371">
        <v>-9653.927734375</v>
      </c>
      <c r="E371">
        <v>-2430.94555664062</v>
      </c>
      <c r="F371">
        <v>-17388.275390625</v>
      </c>
      <c r="G371">
        <v>-1990.38684082031</v>
      </c>
      <c r="H371">
        <v>-16649.916015625</v>
      </c>
      <c r="I371">
        <v>-23981.369140625</v>
      </c>
      <c r="J371">
        <v>-12101.541015625</v>
      </c>
      <c r="K371">
        <v>-23454.55859375</v>
      </c>
      <c r="L371">
        <v>-4377.36962890625</v>
      </c>
      <c r="M371">
        <v>-13334.3115234375</v>
      </c>
      <c r="N371">
        <v>29979.287109375</v>
      </c>
      <c r="O371">
        <v>-16281.2646484375</v>
      </c>
      <c r="U371" s="2">
        <v>0.47916666666666669</v>
      </c>
      <c r="V371">
        <v>-1817.24230957031</v>
      </c>
      <c r="W371">
        <v>-7846.130859375</v>
      </c>
      <c r="X371">
        <v>-9653.927734375</v>
      </c>
      <c r="Y371">
        <v>-2430.94555664062</v>
      </c>
      <c r="Z371">
        <v>-17388.275390625</v>
      </c>
      <c r="AA371">
        <v>-1990.38684082031</v>
      </c>
      <c r="AB371">
        <v>-16649.916015625</v>
      </c>
      <c r="AC371">
        <v>-23981.369140625</v>
      </c>
      <c r="AD371">
        <v>-12101.541015625</v>
      </c>
      <c r="AE371">
        <v>-23454.55859375</v>
      </c>
      <c r="AF371">
        <v>-4377.36962890625</v>
      </c>
      <c r="AG371">
        <v>-13334.3115234375</v>
      </c>
      <c r="AH371">
        <v>29979.287109375</v>
      </c>
      <c r="AI371">
        <v>-16281.2646484375</v>
      </c>
      <c r="AK371">
        <f t="shared" si="19"/>
        <v>-121327.9521484375</v>
      </c>
      <c r="AM371" s="2"/>
    </row>
    <row r="372" spans="1:39" x14ac:dyDescent="0.45">
      <c r="A372">
        <v>120</v>
      </c>
      <c r="B372">
        <v>-2589.03979492187</v>
      </c>
      <c r="C372">
        <v>-6872.64013671875</v>
      </c>
      <c r="D372">
        <v>-13592.3896484375</v>
      </c>
      <c r="E372">
        <v>3775.20385742187</v>
      </c>
      <c r="F372">
        <v>-21427.40625</v>
      </c>
      <c r="G372">
        <v>-4116.814453125</v>
      </c>
      <c r="H372">
        <v>-16489.841796875</v>
      </c>
      <c r="I372">
        <v>-24912.890625</v>
      </c>
      <c r="J372">
        <v>-13559.2822265625</v>
      </c>
      <c r="K372">
        <v>-18845.728515625</v>
      </c>
      <c r="L372">
        <v>-9476.9716796875</v>
      </c>
      <c r="M372">
        <v>-12657.3974609375</v>
      </c>
      <c r="N372">
        <v>31581.646484375</v>
      </c>
      <c r="O372">
        <v>-15337.6923828125</v>
      </c>
      <c r="U372" s="2">
        <v>0.5</v>
      </c>
      <c r="V372">
        <v>-2589.03979492187</v>
      </c>
      <c r="W372">
        <v>-6872.64013671875</v>
      </c>
      <c r="X372">
        <v>-13592.3896484375</v>
      </c>
      <c r="Y372">
        <v>3775.20385742187</v>
      </c>
      <c r="Z372">
        <v>-21427.40625</v>
      </c>
      <c r="AA372">
        <v>-4116.814453125</v>
      </c>
      <c r="AB372">
        <v>-16489.841796875</v>
      </c>
      <c r="AC372">
        <v>-24912.890625</v>
      </c>
      <c r="AD372">
        <v>-13559.2822265625</v>
      </c>
      <c r="AE372">
        <v>-18845.728515625</v>
      </c>
      <c r="AF372">
        <v>-9476.9716796875</v>
      </c>
      <c r="AG372">
        <v>-12657.3974609375</v>
      </c>
      <c r="AH372">
        <v>31581.646484375</v>
      </c>
      <c r="AI372">
        <v>-15337.6923828125</v>
      </c>
      <c r="AK372">
        <f t="shared" si="19"/>
        <v>-124521.24462890625</v>
      </c>
      <c r="AM372" s="2"/>
    </row>
    <row r="373" spans="1:39" x14ac:dyDescent="0.45">
      <c r="A373">
        <v>121</v>
      </c>
      <c r="B373">
        <v>-5833.40576171875</v>
      </c>
      <c r="C373">
        <v>-11228.8095703125</v>
      </c>
      <c r="D373">
        <v>-14141.0498046875</v>
      </c>
      <c r="E373">
        <v>2968.92333984375</v>
      </c>
      <c r="F373">
        <v>-28988.2421875</v>
      </c>
      <c r="G373">
        <v>-5731.13330078125</v>
      </c>
      <c r="H373">
        <v>-24947.80859375</v>
      </c>
      <c r="I373">
        <v>-27289.744140625</v>
      </c>
      <c r="J373">
        <v>-21029.09375</v>
      </c>
      <c r="K373">
        <v>-23342.615234375</v>
      </c>
      <c r="L373">
        <v>-9214.888671875</v>
      </c>
      <c r="M373">
        <v>-19096.16015625</v>
      </c>
      <c r="N373">
        <v>35056.49609375</v>
      </c>
      <c r="O373">
        <v>-13816.45703125</v>
      </c>
      <c r="U373" s="2">
        <v>0.52083333333333337</v>
      </c>
      <c r="V373">
        <v>-5833.40576171875</v>
      </c>
      <c r="W373">
        <v>-11228.8095703125</v>
      </c>
      <c r="X373">
        <v>-14141.0498046875</v>
      </c>
      <c r="Y373">
        <v>2968.92333984375</v>
      </c>
      <c r="Z373">
        <v>-28988.2421875</v>
      </c>
      <c r="AA373">
        <v>-5731.13330078125</v>
      </c>
      <c r="AB373">
        <v>-24947.80859375</v>
      </c>
      <c r="AC373">
        <v>-27289.744140625</v>
      </c>
      <c r="AD373">
        <v>-21029.09375</v>
      </c>
      <c r="AE373">
        <v>-23342.615234375</v>
      </c>
      <c r="AF373">
        <v>-9214.888671875</v>
      </c>
      <c r="AG373">
        <v>-19096.16015625</v>
      </c>
      <c r="AH373">
        <v>35056.49609375</v>
      </c>
      <c r="AI373">
        <v>-13816.45703125</v>
      </c>
      <c r="AK373">
        <f t="shared" si="19"/>
        <v>-166633.98876953125</v>
      </c>
      <c r="AM373" s="2"/>
    </row>
    <row r="374" spans="1:39" x14ac:dyDescent="0.45">
      <c r="A374">
        <v>122</v>
      </c>
      <c r="B374">
        <v>-11236.3837890625</v>
      </c>
      <c r="C374">
        <v>-8606.181640625</v>
      </c>
      <c r="D374">
        <v>-20533.38671875</v>
      </c>
      <c r="E374">
        <v>266.08251953125</v>
      </c>
      <c r="F374">
        <v>-30219.234375</v>
      </c>
      <c r="G374">
        <v>-12396.4638671875</v>
      </c>
      <c r="H374">
        <v>-32423.580078125</v>
      </c>
      <c r="I374">
        <v>-42847.30078125</v>
      </c>
      <c r="J374">
        <v>-27748.71875</v>
      </c>
      <c r="K374">
        <v>-40432.03515625</v>
      </c>
      <c r="L374">
        <v>-5975.875</v>
      </c>
      <c r="M374">
        <v>-34078.98828125</v>
      </c>
      <c r="N374">
        <v>34356.3203125</v>
      </c>
      <c r="O374">
        <v>-20850.7265625</v>
      </c>
      <c r="U374" s="2">
        <v>0.54166666666666663</v>
      </c>
      <c r="V374">
        <v>-11236.3837890625</v>
      </c>
      <c r="W374">
        <v>-8606.181640625</v>
      </c>
      <c r="X374">
        <v>-20533.38671875</v>
      </c>
      <c r="Y374">
        <v>266.08251953125</v>
      </c>
      <c r="Z374">
        <v>-30219.234375</v>
      </c>
      <c r="AA374">
        <v>-12396.4638671875</v>
      </c>
      <c r="AB374">
        <v>-32423.580078125</v>
      </c>
      <c r="AC374">
        <v>-42847.30078125</v>
      </c>
      <c r="AD374">
        <v>-27748.71875</v>
      </c>
      <c r="AE374">
        <v>-40432.03515625</v>
      </c>
      <c r="AF374">
        <v>-5975.875</v>
      </c>
      <c r="AG374">
        <v>-34078.98828125</v>
      </c>
      <c r="AH374">
        <v>34356.3203125</v>
      </c>
      <c r="AI374">
        <v>-20850.7265625</v>
      </c>
      <c r="AK374">
        <f t="shared" si="19"/>
        <v>-252726.47216796875</v>
      </c>
      <c r="AM374" s="2"/>
    </row>
    <row r="375" spans="1:39" x14ac:dyDescent="0.45">
      <c r="A375">
        <v>123</v>
      </c>
      <c r="B375">
        <v>-15724.4013671875</v>
      </c>
      <c r="C375">
        <v>-10093.7265625</v>
      </c>
      <c r="D375">
        <v>-21483.517578125</v>
      </c>
      <c r="E375">
        <v>-13488.103515625</v>
      </c>
      <c r="F375">
        <v>-29286.1953125</v>
      </c>
      <c r="G375">
        <v>-12952.5615234375</v>
      </c>
      <c r="H375">
        <v>-40209.34375</v>
      </c>
      <c r="I375">
        <v>-49865.80078125</v>
      </c>
      <c r="J375">
        <v>-35568.60546875</v>
      </c>
      <c r="K375">
        <v>-53668.61328125</v>
      </c>
      <c r="L375">
        <v>-5473.71533203125</v>
      </c>
      <c r="M375">
        <v>-32742.568359375</v>
      </c>
      <c r="N375">
        <v>30775.451171875</v>
      </c>
      <c r="O375">
        <v>-19918.427734375</v>
      </c>
      <c r="U375" s="2">
        <v>0.5625</v>
      </c>
      <c r="V375">
        <v>-15724.4013671875</v>
      </c>
      <c r="W375">
        <v>-10093.7265625</v>
      </c>
      <c r="X375">
        <v>-21483.517578125</v>
      </c>
      <c r="Y375">
        <v>-13488.103515625</v>
      </c>
      <c r="Z375">
        <v>-29286.1953125</v>
      </c>
      <c r="AA375">
        <v>-12952.5615234375</v>
      </c>
      <c r="AB375">
        <v>-40209.34375</v>
      </c>
      <c r="AC375">
        <v>-49865.80078125</v>
      </c>
      <c r="AD375">
        <v>-35568.60546875</v>
      </c>
      <c r="AE375">
        <v>-53668.61328125</v>
      </c>
      <c r="AF375">
        <v>-5473.71533203125</v>
      </c>
      <c r="AG375">
        <v>-32742.568359375</v>
      </c>
      <c r="AH375">
        <v>30775.451171875</v>
      </c>
      <c r="AI375">
        <v>-19918.427734375</v>
      </c>
      <c r="AK375">
        <f t="shared" si="19"/>
        <v>-309700.12939453125</v>
      </c>
      <c r="AM375" s="2"/>
    </row>
    <row r="376" spans="1:39" x14ac:dyDescent="0.45">
      <c r="A376">
        <v>124</v>
      </c>
      <c r="B376">
        <v>-7494.1376953125</v>
      </c>
      <c r="C376">
        <v>-349.91323852539</v>
      </c>
      <c r="D376">
        <v>-16530.07421875</v>
      </c>
      <c r="E376">
        <v>-11613.173828125</v>
      </c>
      <c r="F376">
        <v>-8717.029296875</v>
      </c>
      <c r="G376">
        <v>-6925.39501953125</v>
      </c>
      <c r="H376">
        <v>-17210.03125</v>
      </c>
      <c r="I376">
        <v>-37417.359375</v>
      </c>
      <c r="J376">
        <v>-13869.3720703125</v>
      </c>
      <c r="K376">
        <v>-36637.3828125</v>
      </c>
      <c r="L376">
        <v>900.082763671875</v>
      </c>
      <c r="M376">
        <v>-13832.46484375</v>
      </c>
      <c r="N376">
        <v>27580.69921875</v>
      </c>
      <c r="O376">
        <v>-13446.3408203125</v>
      </c>
      <c r="U376" s="2">
        <v>0.58333333333333337</v>
      </c>
      <c r="V376">
        <v>-7494.1376953125</v>
      </c>
      <c r="W376">
        <v>-349.91323852539</v>
      </c>
      <c r="X376">
        <v>-16530.07421875</v>
      </c>
      <c r="Y376">
        <v>-11613.173828125</v>
      </c>
      <c r="Z376">
        <v>-8717.029296875</v>
      </c>
      <c r="AA376">
        <v>-6925.39501953125</v>
      </c>
      <c r="AB376">
        <v>-17210.03125</v>
      </c>
      <c r="AC376">
        <v>-37417.359375</v>
      </c>
      <c r="AD376">
        <v>-13869.3720703125</v>
      </c>
      <c r="AE376">
        <v>-36637.3828125</v>
      </c>
      <c r="AF376">
        <v>900.082763671875</v>
      </c>
      <c r="AG376">
        <v>-13832.46484375</v>
      </c>
      <c r="AH376">
        <v>27580.69921875</v>
      </c>
      <c r="AI376">
        <v>-13446.3408203125</v>
      </c>
      <c r="AK376">
        <f t="shared" si="19"/>
        <v>-155561.89248657227</v>
      </c>
      <c r="AM376" s="2"/>
    </row>
    <row r="377" spans="1:39" x14ac:dyDescent="0.45">
      <c r="A377">
        <v>125</v>
      </c>
      <c r="B377">
        <v>-12755.4375</v>
      </c>
      <c r="C377">
        <v>-1456.78723144531</v>
      </c>
      <c r="D377">
        <v>-15415.88671875</v>
      </c>
      <c r="E377">
        <v>-12491.900390625</v>
      </c>
      <c r="F377">
        <v>-18082.443359375</v>
      </c>
      <c r="G377">
        <v>-7563.4892578125</v>
      </c>
      <c r="H377">
        <v>-23885.537109375</v>
      </c>
      <c r="I377">
        <v>-38449.72265625</v>
      </c>
      <c r="J377">
        <v>-24113.84765625</v>
      </c>
      <c r="K377">
        <v>-41674.24609375</v>
      </c>
      <c r="L377">
        <v>-5343.67333984375</v>
      </c>
      <c r="M377">
        <v>-13812.462890625</v>
      </c>
      <c r="N377">
        <v>28546.923828125</v>
      </c>
      <c r="O377">
        <v>-14326.62890625</v>
      </c>
      <c r="U377" s="2">
        <v>0.60416666666666663</v>
      </c>
      <c r="V377">
        <v>-12755.4375</v>
      </c>
      <c r="W377">
        <v>-1456.78723144531</v>
      </c>
      <c r="X377">
        <v>-15415.88671875</v>
      </c>
      <c r="Y377">
        <v>-12491.900390625</v>
      </c>
      <c r="Z377">
        <v>-18082.443359375</v>
      </c>
      <c r="AA377">
        <v>-7563.4892578125</v>
      </c>
      <c r="AB377">
        <v>-23885.537109375</v>
      </c>
      <c r="AC377">
        <v>-38449.72265625</v>
      </c>
      <c r="AD377">
        <v>-24113.84765625</v>
      </c>
      <c r="AE377">
        <v>-41674.24609375</v>
      </c>
      <c r="AF377">
        <v>-5343.67333984375</v>
      </c>
      <c r="AG377">
        <v>-13812.462890625</v>
      </c>
      <c r="AH377">
        <v>28546.923828125</v>
      </c>
      <c r="AI377">
        <v>-14326.62890625</v>
      </c>
      <c r="AK377">
        <f t="shared" si="19"/>
        <v>-200825.13928222656</v>
      </c>
      <c r="AM377" s="2"/>
    </row>
    <row r="378" spans="1:39" x14ac:dyDescent="0.45">
      <c r="A378">
        <v>126</v>
      </c>
      <c r="B378">
        <v>-11925.412109375</v>
      </c>
      <c r="C378">
        <v>-865.9072265625</v>
      </c>
      <c r="D378">
        <v>-15641.658203125</v>
      </c>
      <c r="E378">
        <v>-9771.0966796875</v>
      </c>
      <c r="F378">
        <v>-18918.841796875</v>
      </c>
      <c r="G378">
        <v>-5927.17626953125</v>
      </c>
      <c r="H378">
        <v>-23207.392578125</v>
      </c>
      <c r="I378">
        <v>-35978.84765625</v>
      </c>
      <c r="J378">
        <v>-22021.353515625</v>
      </c>
      <c r="K378">
        <v>-39565.8515625</v>
      </c>
      <c r="L378">
        <v>-2170.67919921875</v>
      </c>
      <c r="M378">
        <v>-16761.41796875</v>
      </c>
      <c r="N378">
        <v>31094.857421875</v>
      </c>
      <c r="O378">
        <v>-15202.9150390625</v>
      </c>
      <c r="U378" s="2">
        <v>0.625</v>
      </c>
      <c r="V378">
        <v>-11925.412109375</v>
      </c>
      <c r="W378">
        <v>-865.9072265625</v>
      </c>
      <c r="X378">
        <v>-15641.658203125</v>
      </c>
      <c r="Y378">
        <v>-9771.0966796875</v>
      </c>
      <c r="Z378">
        <v>-18918.841796875</v>
      </c>
      <c r="AA378">
        <v>-5927.17626953125</v>
      </c>
      <c r="AB378">
        <v>-23207.392578125</v>
      </c>
      <c r="AC378">
        <v>-35978.84765625</v>
      </c>
      <c r="AD378">
        <v>-22021.353515625</v>
      </c>
      <c r="AE378">
        <v>-39565.8515625</v>
      </c>
      <c r="AF378">
        <v>-2170.67919921875</v>
      </c>
      <c r="AG378">
        <v>-16761.41796875</v>
      </c>
      <c r="AH378">
        <v>31094.857421875</v>
      </c>
      <c r="AI378">
        <v>-15202.9150390625</v>
      </c>
      <c r="AK378">
        <f t="shared" si="19"/>
        <v>-186863.6923828125</v>
      </c>
      <c r="AM378" s="2"/>
    </row>
    <row r="379" spans="1:39" x14ac:dyDescent="0.45">
      <c r="A379">
        <v>127</v>
      </c>
      <c r="B379">
        <v>-11389.537109375</v>
      </c>
      <c r="C379">
        <v>1000.32458496093</v>
      </c>
      <c r="D379">
        <v>-15068.5302734375</v>
      </c>
      <c r="E379">
        <v>710.21929931640602</v>
      </c>
      <c r="F379">
        <v>-14100.92578125</v>
      </c>
      <c r="G379">
        <v>6.0011844635009703</v>
      </c>
      <c r="H379">
        <v>-19728.583984375</v>
      </c>
      <c r="I379">
        <v>-15003.3798828125</v>
      </c>
      <c r="J379">
        <v>-12274.982421875</v>
      </c>
      <c r="K379">
        <v>-16157.189453125</v>
      </c>
      <c r="L379">
        <v>-3921.2255859375</v>
      </c>
      <c r="M379">
        <v>-5241.69482421875</v>
      </c>
      <c r="N379">
        <v>34610.4140625</v>
      </c>
      <c r="O379">
        <v>-9943.2158203125</v>
      </c>
      <c r="U379" s="2">
        <v>0.64583333333333337</v>
      </c>
      <c r="V379">
        <v>-11389.537109375</v>
      </c>
      <c r="W379">
        <v>1000.32458496093</v>
      </c>
      <c r="X379">
        <v>-15068.5302734375</v>
      </c>
      <c r="Y379">
        <v>710.21929931640602</v>
      </c>
      <c r="Z379">
        <v>-14100.92578125</v>
      </c>
      <c r="AA379">
        <v>6.0011844635009703</v>
      </c>
      <c r="AB379">
        <v>-19728.583984375</v>
      </c>
      <c r="AC379">
        <v>-15003.3798828125</v>
      </c>
      <c r="AD379">
        <v>-12274.982421875</v>
      </c>
      <c r="AE379">
        <v>-16157.189453125</v>
      </c>
      <c r="AF379">
        <v>-3921.2255859375</v>
      </c>
      <c r="AG379">
        <v>-5241.69482421875</v>
      </c>
      <c r="AH379">
        <v>34610.4140625</v>
      </c>
      <c r="AI379">
        <v>-9943.2158203125</v>
      </c>
      <c r="AK379">
        <f t="shared" si="19"/>
        <v>-86502.306005477905</v>
      </c>
      <c r="AM379" s="2"/>
    </row>
    <row r="380" spans="1:39" x14ac:dyDescent="0.45">
      <c r="A380">
        <v>128</v>
      </c>
      <c r="B380">
        <v>307.84506225585898</v>
      </c>
      <c r="C380">
        <v>6964.330078125</v>
      </c>
      <c r="D380">
        <v>-2164.982421875</v>
      </c>
      <c r="E380">
        <v>11251.576171875</v>
      </c>
      <c r="F380">
        <v>2243.89233398437</v>
      </c>
      <c r="G380">
        <v>4042.79223632812</v>
      </c>
      <c r="H380">
        <v>10348.408203125</v>
      </c>
      <c r="I380">
        <v>5788.0654296875</v>
      </c>
      <c r="J380">
        <v>13709.3203125</v>
      </c>
      <c r="K380">
        <v>11304.2158203125</v>
      </c>
      <c r="L380">
        <v>390.122314453125</v>
      </c>
      <c r="M380">
        <v>17497.640625</v>
      </c>
      <c r="N380">
        <v>32160.791015625</v>
      </c>
      <c r="O380">
        <v>-604.19476318359295</v>
      </c>
      <c r="U380" s="2">
        <v>0.66666666666666663</v>
      </c>
      <c r="V380">
        <v>307.84506225585898</v>
      </c>
      <c r="W380">
        <v>6964.330078125</v>
      </c>
      <c r="X380">
        <v>-2164.982421875</v>
      </c>
      <c r="Y380">
        <v>11251.576171875</v>
      </c>
      <c r="Z380">
        <v>2243.89233398437</v>
      </c>
      <c r="AA380">
        <v>4042.79223632812</v>
      </c>
      <c r="AB380">
        <v>10348.408203125</v>
      </c>
      <c r="AC380">
        <v>5788.0654296875</v>
      </c>
      <c r="AD380">
        <v>13709.3203125</v>
      </c>
      <c r="AE380">
        <v>11304.2158203125</v>
      </c>
      <c r="AF380">
        <v>390.122314453125</v>
      </c>
      <c r="AG380">
        <v>17497.640625</v>
      </c>
      <c r="AH380">
        <v>32160.791015625</v>
      </c>
      <c r="AI380">
        <v>-604.19476318359295</v>
      </c>
      <c r="AK380">
        <f t="shared" si="19"/>
        <v>113239.82241821289</v>
      </c>
      <c r="AM380" s="2"/>
    </row>
    <row r="381" spans="1:39" x14ac:dyDescent="0.45">
      <c r="A381">
        <v>129</v>
      </c>
      <c r="B381">
        <v>8715.623046875</v>
      </c>
      <c r="C381">
        <v>7037.3564453125</v>
      </c>
      <c r="D381">
        <v>5251.6259765625</v>
      </c>
      <c r="E381">
        <v>9653.0419921875</v>
      </c>
      <c r="F381">
        <v>9795.453125</v>
      </c>
      <c r="G381">
        <v>10552.08203125</v>
      </c>
      <c r="H381">
        <v>22975.359375</v>
      </c>
      <c r="I381">
        <v>9133.259765625</v>
      </c>
      <c r="J381">
        <v>22275.408203125</v>
      </c>
      <c r="K381">
        <v>16749.3046875</v>
      </c>
      <c r="L381">
        <v>4107.287109375</v>
      </c>
      <c r="M381">
        <v>24169.794921875</v>
      </c>
      <c r="N381">
        <v>28166.83984375</v>
      </c>
      <c r="O381">
        <v>614.19805908203102</v>
      </c>
      <c r="U381" s="2">
        <v>0.6875</v>
      </c>
      <c r="V381">
        <v>8715.623046875</v>
      </c>
      <c r="W381">
        <v>7037.3564453125</v>
      </c>
      <c r="X381">
        <v>5251.6259765625</v>
      </c>
      <c r="Y381">
        <v>9653.0419921875</v>
      </c>
      <c r="Z381">
        <v>9795.453125</v>
      </c>
      <c r="AA381">
        <v>10552.08203125</v>
      </c>
      <c r="AB381">
        <v>22975.359375</v>
      </c>
      <c r="AC381">
        <v>9133.259765625</v>
      </c>
      <c r="AD381">
        <v>22275.408203125</v>
      </c>
      <c r="AE381">
        <v>16749.3046875</v>
      </c>
      <c r="AF381">
        <v>4107.287109375</v>
      </c>
      <c r="AG381">
        <v>24169.794921875</v>
      </c>
      <c r="AH381">
        <v>28166.83984375</v>
      </c>
      <c r="AI381">
        <v>614.19805908203102</v>
      </c>
      <c r="AK381">
        <f t="shared" si="19"/>
        <v>179196.63458251953</v>
      </c>
      <c r="AM381" s="2"/>
    </row>
    <row r="382" spans="1:39" x14ac:dyDescent="0.45">
      <c r="A382">
        <v>130</v>
      </c>
      <c r="B382">
        <v>11517.6396484375</v>
      </c>
      <c r="C382">
        <v>9704.6220703125</v>
      </c>
      <c r="D382">
        <v>7870.23291015625</v>
      </c>
      <c r="E382">
        <v>16140.9453125</v>
      </c>
      <c r="F382">
        <v>14077.224609375</v>
      </c>
      <c r="G382">
        <v>13502.6650390625</v>
      </c>
      <c r="H382">
        <v>29290.828125</v>
      </c>
      <c r="I382">
        <v>28082.0234375</v>
      </c>
      <c r="J382">
        <v>30413.390625</v>
      </c>
      <c r="K382">
        <v>36469.19140625</v>
      </c>
      <c r="L382">
        <v>5285.6552734375</v>
      </c>
      <c r="M382">
        <v>34461.1171875</v>
      </c>
      <c r="N382">
        <v>35956.7421875</v>
      </c>
      <c r="O382">
        <v>12153.9208984375</v>
      </c>
      <c r="U382" s="2">
        <v>0.70833333333333337</v>
      </c>
      <c r="V382">
        <v>11517.6396484375</v>
      </c>
      <c r="W382">
        <v>9704.6220703125</v>
      </c>
      <c r="X382">
        <v>7870.23291015625</v>
      </c>
      <c r="Y382">
        <v>16140.9453125</v>
      </c>
      <c r="Z382">
        <v>14077.224609375</v>
      </c>
      <c r="AA382">
        <v>13502.6650390625</v>
      </c>
      <c r="AB382">
        <v>29290.828125</v>
      </c>
      <c r="AC382">
        <v>28082.0234375</v>
      </c>
      <c r="AD382">
        <v>30413.390625</v>
      </c>
      <c r="AE382">
        <v>36469.19140625</v>
      </c>
      <c r="AF382">
        <v>5285.6552734375</v>
      </c>
      <c r="AG382">
        <v>34461.1171875</v>
      </c>
      <c r="AH382">
        <v>35956.7421875</v>
      </c>
      <c r="AI382">
        <v>12153.9208984375</v>
      </c>
      <c r="AK382">
        <f t="shared" ref="AK382:AK445" si="20">SUM(V382:AI382)</f>
        <v>284926.19873046875</v>
      </c>
      <c r="AM382" s="2"/>
    </row>
    <row r="383" spans="1:39" x14ac:dyDescent="0.45">
      <c r="A383">
        <v>131</v>
      </c>
      <c r="B383">
        <v>23509.357421875</v>
      </c>
      <c r="C383">
        <v>16559.58203125</v>
      </c>
      <c r="D383">
        <v>16541.4609375</v>
      </c>
      <c r="E383">
        <v>25545.935546875</v>
      </c>
      <c r="F383">
        <v>26639.533203125</v>
      </c>
      <c r="G383">
        <v>17747.505859375</v>
      </c>
      <c r="H383">
        <v>52750.31640625</v>
      </c>
      <c r="I383">
        <v>37117.2578125</v>
      </c>
      <c r="J383">
        <v>51560.5546875</v>
      </c>
      <c r="K383">
        <v>47529.38671875</v>
      </c>
      <c r="L383">
        <v>12325.931640625</v>
      </c>
      <c r="M383">
        <v>40645.11328125</v>
      </c>
      <c r="N383">
        <v>34126.7578125</v>
      </c>
      <c r="O383">
        <v>11313.650390625</v>
      </c>
      <c r="U383" s="2">
        <v>0.72916666666666663</v>
      </c>
      <c r="V383">
        <v>23509.357421875</v>
      </c>
      <c r="W383">
        <v>16559.58203125</v>
      </c>
      <c r="X383">
        <v>16541.4609375</v>
      </c>
      <c r="Y383">
        <v>25545.935546875</v>
      </c>
      <c r="Z383">
        <v>26639.533203125</v>
      </c>
      <c r="AA383">
        <v>17747.505859375</v>
      </c>
      <c r="AB383">
        <v>52750.31640625</v>
      </c>
      <c r="AC383">
        <v>37117.2578125</v>
      </c>
      <c r="AD383">
        <v>51560.5546875</v>
      </c>
      <c r="AE383">
        <v>47529.38671875</v>
      </c>
      <c r="AF383">
        <v>12325.931640625</v>
      </c>
      <c r="AG383">
        <v>40645.11328125</v>
      </c>
      <c r="AH383">
        <v>34126.7578125</v>
      </c>
      <c r="AI383">
        <v>11313.650390625</v>
      </c>
      <c r="AK383">
        <f t="shared" si="20"/>
        <v>413912.34375</v>
      </c>
      <c r="AM383" s="2"/>
    </row>
    <row r="384" spans="1:39" x14ac:dyDescent="0.45">
      <c r="A384">
        <v>132</v>
      </c>
      <c r="B384">
        <v>36337.94921875</v>
      </c>
      <c r="C384">
        <v>22570.806640625</v>
      </c>
      <c r="D384">
        <v>23195.927734375</v>
      </c>
      <c r="E384">
        <v>35249.1171875</v>
      </c>
      <c r="F384">
        <v>49062.16796875</v>
      </c>
      <c r="G384">
        <v>29233.76171875</v>
      </c>
      <c r="H384">
        <v>76265.8359375</v>
      </c>
      <c r="I384">
        <v>71155.3671875</v>
      </c>
      <c r="J384">
        <v>80899.7265625</v>
      </c>
      <c r="K384">
        <v>87763.296875</v>
      </c>
      <c r="L384">
        <v>22427.0078125</v>
      </c>
      <c r="M384">
        <v>61159.69140625</v>
      </c>
      <c r="N384">
        <v>37901.24609375</v>
      </c>
      <c r="O384">
        <v>26168.42578125</v>
      </c>
      <c r="U384" s="2">
        <v>0.75</v>
      </c>
      <c r="V384">
        <v>36337.94921875</v>
      </c>
      <c r="W384">
        <v>22570.806640625</v>
      </c>
      <c r="X384">
        <v>23195.927734375</v>
      </c>
      <c r="Y384">
        <v>35249.1171875</v>
      </c>
      <c r="Z384">
        <v>49062.16796875</v>
      </c>
      <c r="AA384">
        <v>29233.76171875</v>
      </c>
      <c r="AB384">
        <v>76265.8359375</v>
      </c>
      <c r="AC384">
        <v>71155.3671875</v>
      </c>
      <c r="AD384">
        <v>80899.7265625</v>
      </c>
      <c r="AE384">
        <v>87763.296875</v>
      </c>
      <c r="AF384">
        <v>22427.0078125</v>
      </c>
      <c r="AG384">
        <v>61159.69140625</v>
      </c>
      <c r="AH384">
        <v>37901.24609375</v>
      </c>
      <c r="AI384">
        <v>26168.42578125</v>
      </c>
      <c r="AK384">
        <f t="shared" si="20"/>
        <v>659390.328125</v>
      </c>
      <c r="AM384" s="2"/>
    </row>
    <row r="385" spans="1:39" x14ac:dyDescent="0.45">
      <c r="A385">
        <v>133</v>
      </c>
      <c r="B385">
        <v>50734.6484375</v>
      </c>
      <c r="C385">
        <v>30849.900390625</v>
      </c>
      <c r="D385">
        <v>30281.052734375</v>
      </c>
      <c r="E385">
        <v>45515.91796875</v>
      </c>
      <c r="F385">
        <v>71699.4609375</v>
      </c>
      <c r="G385">
        <v>34242.6171875</v>
      </c>
      <c r="H385">
        <v>107982.84375</v>
      </c>
      <c r="I385">
        <v>100892</v>
      </c>
      <c r="J385">
        <v>111327.28125</v>
      </c>
      <c r="K385">
        <v>128152.7578125</v>
      </c>
      <c r="L385">
        <v>30297.42578125</v>
      </c>
      <c r="M385">
        <v>76724.6875</v>
      </c>
      <c r="N385">
        <v>49088.03515625</v>
      </c>
      <c r="O385">
        <v>40656.6171875</v>
      </c>
      <c r="U385" s="2">
        <v>0.77083333333333337</v>
      </c>
      <c r="V385">
        <v>50734.6484375</v>
      </c>
      <c r="W385">
        <v>30849.900390625</v>
      </c>
      <c r="X385">
        <v>30281.052734375</v>
      </c>
      <c r="Y385">
        <v>45515.91796875</v>
      </c>
      <c r="Z385">
        <v>71699.4609375</v>
      </c>
      <c r="AA385">
        <v>34242.6171875</v>
      </c>
      <c r="AB385">
        <v>107982.84375</v>
      </c>
      <c r="AC385">
        <v>100892</v>
      </c>
      <c r="AD385">
        <v>111327.28125</v>
      </c>
      <c r="AE385">
        <v>128152.7578125</v>
      </c>
      <c r="AF385">
        <v>30297.42578125</v>
      </c>
      <c r="AG385">
        <v>76724.6875</v>
      </c>
      <c r="AH385">
        <v>49088.03515625</v>
      </c>
      <c r="AI385">
        <v>40656.6171875</v>
      </c>
      <c r="AK385">
        <f t="shared" si="20"/>
        <v>908445.24609375</v>
      </c>
      <c r="AM385" s="2"/>
    </row>
    <row r="386" spans="1:39" x14ac:dyDescent="0.45">
      <c r="A386">
        <v>134</v>
      </c>
      <c r="B386">
        <v>56459.3203125</v>
      </c>
      <c r="C386">
        <v>31197.921875</v>
      </c>
      <c r="D386">
        <v>32246.716796875</v>
      </c>
      <c r="E386">
        <v>49973.671875</v>
      </c>
      <c r="F386">
        <v>75382.71875</v>
      </c>
      <c r="G386">
        <v>33000.375</v>
      </c>
      <c r="H386">
        <v>119379.4296875</v>
      </c>
      <c r="I386">
        <v>106742.046875</v>
      </c>
      <c r="J386">
        <v>119737.296875</v>
      </c>
      <c r="K386">
        <v>142883.609375</v>
      </c>
      <c r="L386">
        <v>28252.787109375</v>
      </c>
      <c r="M386">
        <v>81190.203125</v>
      </c>
      <c r="N386">
        <v>49450.08984375</v>
      </c>
      <c r="O386">
        <v>46042.86328125</v>
      </c>
      <c r="U386" s="2">
        <v>0.79166666666666663</v>
      </c>
      <c r="V386">
        <v>56459.3203125</v>
      </c>
      <c r="W386">
        <v>31197.921875</v>
      </c>
      <c r="X386">
        <v>32246.716796875</v>
      </c>
      <c r="Y386">
        <v>49973.671875</v>
      </c>
      <c r="Z386">
        <v>75382.71875</v>
      </c>
      <c r="AA386">
        <v>33000.375</v>
      </c>
      <c r="AB386">
        <v>119379.4296875</v>
      </c>
      <c r="AC386">
        <v>106742.046875</v>
      </c>
      <c r="AD386">
        <v>119737.296875</v>
      </c>
      <c r="AE386">
        <v>142883.609375</v>
      </c>
      <c r="AF386">
        <v>28252.787109375</v>
      </c>
      <c r="AG386">
        <v>81190.203125</v>
      </c>
      <c r="AH386">
        <v>49450.08984375</v>
      </c>
      <c r="AI386">
        <v>46042.86328125</v>
      </c>
      <c r="AK386">
        <f t="shared" si="20"/>
        <v>971939.05078125</v>
      </c>
      <c r="AM386" s="2"/>
    </row>
    <row r="387" spans="1:39" x14ac:dyDescent="0.45">
      <c r="A387">
        <v>135</v>
      </c>
      <c r="B387">
        <v>58027.07421875</v>
      </c>
      <c r="C387">
        <v>28974.279296875</v>
      </c>
      <c r="D387">
        <v>31690.30078125</v>
      </c>
      <c r="E387">
        <v>48243.171875</v>
      </c>
      <c r="F387">
        <v>72937.984375</v>
      </c>
      <c r="G387">
        <v>34274.7109375</v>
      </c>
      <c r="H387">
        <v>116972.5390625</v>
      </c>
      <c r="I387">
        <v>99501.5234375</v>
      </c>
      <c r="J387">
        <v>119176.953125</v>
      </c>
      <c r="K387">
        <v>138853.1875</v>
      </c>
      <c r="L387">
        <v>27122.486328125</v>
      </c>
      <c r="M387">
        <v>76136.6015625</v>
      </c>
      <c r="N387">
        <v>42888.53125</v>
      </c>
      <c r="O387">
        <v>42741.79296875</v>
      </c>
      <c r="U387" s="2">
        <v>0.8125</v>
      </c>
      <c r="V387">
        <v>58027.07421875</v>
      </c>
      <c r="W387">
        <v>28974.279296875</v>
      </c>
      <c r="X387">
        <v>31690.30078125</v>
      </c>
      <c r="Y387">
        <v>48243.171875</v>
      </c>
      <c r="Z387">
        <v>72937.984375</v>
      </c>
      <c r="AA387">
        <v>34274.7109375</v>
      </c>
      <c r="AB387">
        <v>116972.5390625</v>
      </c>
      <c r="AC387">
        <v>99501.5234375</v>
      </c>
      <c r="AD387">
        <v>119176.953125</v>
      </c>
      <c r="AE387">
        <v>138853.1875</v>
      </c>
      <c r="AF387">
        <v>27122.486328125</v>
      </c>
      <c r="AG387">
        <v>76136.6015625</v>
      </c>
      <c r="AH387">
        <v>42888.53125</v>
      </c>
      <c r="AI387">
        <v>42741.79296875</v>
      </c>
      <c r="AK387">
        <f t="shared" si="20"/>
        <v>937541.13671875</v>
      </c>
      <c r="AM387" s="2"/>
    </row>
    <row r="388" spans="1:39" x14ac:dyDescent="0.45">
      <c r="A388">
        <v>136</v>
      </c>
      <c r="B388">
        <v>51874.3125</v>
      </c>
      <c r="C388">
        <v>29268.76171875</v>
      </c>
      <c r="D388">
        <v>34181.5</v>
      </c>
      <c r="E388">
        <v>45632.375</v>
      </c>
      <c r="F388">
        <v>68502.4453125</v>
      </c>
      <c r="G388">
        <v>33730.13671875</v>
      </c>
      <c r="H388">
        <v>113631.7265625</v>
      </c>
      <c r="I388">
        <v>100105.671875</v>
      </c>
      <c r="J388">
        <v>113763.5546875</v>
      </c>
      <c r="K388">
        <v>130783.796875</v>
      </c>
      <c r="L388">
        <v>26588.291015625</v>
      </c>
      <c r="M388">
        <v>81306.2734375</v>
      </c>
      <c r="N388">
        <v>41422.41015625</v>
      </c>
      <c r="O388">
        <v>41531.421875</v>
      </c>
      <c r="U388" s="2">
        <v>0.83333333333333337</v>
      </c>
      <c r="V388">
        <v>51874.3125</v>
      </c>
      <c r="W388">
        <v>29268.76171875</v>
      </c>
      <c r="X388">
        <v>34181.5</v>
      </c>
      <c r="Y388">
        <v>45632.375</v>
      </c>
      <c r="Z388">
        <v>68502.4453125</v>
      </c>
      <c r="AA388">
        <v>33730.13671875</v>
      </c>
      <c r="AB388">
        <v>113631.7265625</v>
      </c>
      <c r="AC388">
        <v>100105.671875</v>
      </c>
      <c r="AD388">
        <v>113763.5546875</v>
      </c>
      <c r="AE388">
        <v>130783.796875</v>
      </c>
      <c r="AF388">
        <v>26588.291015625</v>
      </c>
      <c r="AG388">
        <v>81306.2734375</v>
      </c>
      <c r="AH388">
        <v>41422.41015625</v>
      </c>
      <c r="AI388">
        <v>41531.421875</v>
      </c>
      <c r="AK388">
        <f t="shared" si="20"/>
        <v>912322.677734375</v>
      </c>
      <c r="AM388" s="2"/>
    </row>
    <row r="389" spans="1:39" x14ac:dyDescent="0.45">
      <c r="A389">
        <v>137</v>
      </c>
      <c r="B389">
        <v>51690.65234375</v>
      </c>
      <c r="C389">
        <v>29191.67578125</v>
      </c>
      <c r="D389">
        <v>33904.83984375</v>
      </c>
      <c r="E389">
        <v>43890.01953125</v>
      </c>
      <c r="F389">
        <v>70121.609375</v>
      </c>
      <c r="G389">
        <v>34800.9375</v>
      </c>
      <c r="H389">
        <v>111358.25</v>
      </c>
      <c r="I389">
        <v>111625.890625</v>
      </c>
      <c r="J389">
        <v>113204.5</v>
      </c>
      <c r="K389">
        <v>143556.609375</v>
      </c>
      <c r="L389">
        <v>23973.873046875</v>
      </c>
      <c r="M389">
        <v>83997.109375</v>
      </c>
      <c r="N389">
        <v>49016.078125</v>
      </c>
      <c r="O389">
        <v>52238.86328125</v>
      </c>
      <c r="U389" s="2">
        <v>0.85416666666666663</v>
      </c>
      <c r="V389">
        <v>51690.65234375</v>
      </c>
      <c r="W389">
        <v>29191.67578125</v>
      </c>
      <c r="X389">
        <v>33904.83984375</v>
      </c>
      <c r="Y389">
        <v>43890.01953125</v>
      </c>
      <c r="Z389">
        <v>70121.609375</v>
      </c>
      <c r="AA389">
        <v>34800.9375</v>
      </c>
      <c r="AB389">
        <v>111358.25</v>
      </c>
      <c r="AC389">
        <v>111625.890625</v>
      </c>
      <c r="AD389">
        <v>113204.5</v>
      </c>
      <c r="AE389">
        <v>143556.609375</v>
      </c>
      <c r="AF389">
        <v>23973.873046875</v>
      </c>
      <c r="AG389">
        <v>83997.109375</v>
      </c>
      <c r="AH389">
        <v>49016.078125</v>
      </c>
      <c r="AI389">
        <v>52238.86328125</v>
      </c>
      <c r="AK389">
        <f t="shared" si="20"/>
        <v>952570.908203125</v>
      </c>
      <c r="AM389" s="2"/>
    </row>
    <row r="390" spans="1:39" x14ac:dyDescent="0.45">
      <c r="A390">
        <v>138</v>
      </c>
      <c r="B390">
        <v>52710.33203125</v>
      </c>
      <c r="C390">
        <v>29722.6484375</v>
      </c>
      <c r="D390">
        <v>34712.34375</v>
      </c>
      <c r="E390">
        <v>42037.14453125</v>
      </c>
      <c r="F390">
        <v>71344.28125</v>
      </c>
      <c r="G390">
        <v>36061.09765625</v>
      </c>
      <c r="H390">
        <v>114644.875</v>
      </c>
      <c r="I390">
        <v>110935.5859375</v>
      </c>
      <c r="J390">
        <v>113963.875</v>
      </c>
      <c r="K390">
        <v>142260</v>
      </c>
      <c r="L390">
        <v>23647.392578125</v>
      </c>
      <c r="M390">
        <v>88834.6484375</v>
      </c>
      <c r="N390">
        <v>45833.21484375</v>
      </c>
      <c r="O390">
        <v>50168.1796875</v>
      </c>
      <c r="U390" s="2">
        <v>0.875</v>
      </c>
      <c r="V390">
        <v>52710.33203125</v>
      </c>
      <c r="W390">
        <v>29722.6484375</v>
      </c>
      <c r="X390">
        <v>34712.34375</v>
      </c>
      <c r="Y390">
        <v>42037.14453125</v>
      </c>
      <c r="Z390">
        <v>71344.28125</v>
      </c>
      <c r="AA390">
        <v>36061.09765625</v>
      </c>
      <c r="AB390">
        <v>114644.875</v>
      </c>
      <c r="AC390">
        <v>110935.5859375</v>
      </c>
      <c r="AD390">
        <v>113963.875</v>
      </c>
      <c r="AE390">
        <v>142260</v>
      </c>
      <c r="AF390">
        <v>23647.392578125</v>
      </c>
      <c r="AG390">
        <v>88834.6484375</v>
      </c>
      <c r="AH390">
        <v>45833.21484375</v>
      </c>
      <c r="AI390">
        <v>50168.1796875</v>
      </c>
      <c r="AK390">
        <f t="shared" si="20"/>
        <v>956875.619140625</v>
      </c>
      <c r="AM390" s="2"/>
    </row>
    <row r="391" spans="1:39" x14ac:dyDescent="0.45">
      <c r="A391">
        <v>139</v>
      </c>
      <c r="B391">
        <v>53038.92578125</v>
      </c>
      <c r="C391">
        <v>28986.96484375</v>
      </c>
      <c r="D391">
        <v>32624.501953125</v>
      </c>
      <c r="E391">
        <v>44189.84765625</v>
      </c>
      <c r="F391">
        <v>72788.09375</v>
      </c>
      <c r="G391">
        <v>31540.2109375</v>
      </c>
      <c r="H391">
        <v>112054.2578125</v>
      </c>
      <c r="I391">
        <v>106756.09375</v>
      </c>
      <c r="J391">
        <v>110993.1484375</v>
      </c>
      <c r="K391">
        <v>139721.515625</v>
      </c>
      <c r="L391">
        <v>21934.85546875</v>
      </c>
      <c r="M391">
        <v>82008.4453125</v>
      </c>
      <c r="N391">
        <v>47479.62109375</v>
      </c>
      <c r="O391">
        <v>46322.94140625</v>
      </c>
      <c r="U391" s="2">
        <v>0.89583333333333337</v>
      </c>
      <c r="V391">
        <v>53038.92578125</v>
      </c>
      <c r="W391">
        <v>28986.96484375</v>
      </c>
      <c r="X391">
        <v>32624.501953125</v>
      </c>
      <c r="Y391">
        <v>44189.84765625</v>
      </c>
      <c r="Z391">
        <v>72788.09375</v>
      </c>
      <c r="AA391">
        <v>31540.2109375</v>
      </c>
      <c r="AB391">
        <v>112054.2578125</v>
      </c>
      <c r="AC391">
        <v>106756.09375</v>
      </c>
      <c r="AD391">
        <v>110993.1484375</v>
      </c>
      <c r="AE391">
        <v>139721.515625</v>
      </c>
      <c r="AF391">
        <v>21934.85546875</v>
      </c>
      <c r="AG391">
        <v>82008.4453125</v>
      </c>
      <c r="AH391">
        <v>47479.62109375</v>
      </c>
      <c r="AI391">
        <v>46322.94140625</v>
      </c>
      <c r="AK391">
        <f t="shared" si="20"/>
        <v>930439.423828125</v>
      </c>
      <c r="AM391" s="2"/>
    </row>
    <row r="392" spans="1:39" x14ac:dyDescent="0.45">
      <c r="A392">
        <v>140</v>
      </c>
      <c r="B392">
        <v>45876.59765625</v>
      </c>
      <c r="C392">
        <v>29089.322265625</v>
      </c>
      <c r="D392">
        <v>30896.337890625</v>
      </c>
      <c r="E392">
        <v>42437.36328125</v>
      </c>
      <c r="F392">
        <v>66076.1015625</v>
      </c>
      <c r="G392">
        <v>31594.2265625</v>
      </c>
      <c r="H392">
        <v>104404.3984375</v>
      </c>
      <c r="I392">
        <v>99061.3515625</v>
      </c>
      <c r="J392">
        <v>104007.484375</v>
      </c>
      <c r="K392">
        <v>126278.875</v>
      </c>
      <c r="L392">
        <v>23251.259765625</v>
      </c>
      <c r="M392">
        <v>76456.6875</v>
      </c>
      <c r="N392">
        <v>42020.29296875</v>
      </c>
      <c r="O392">
        <v>41245.3671875</v>
      </c>
      <c r="U392" s="2">
        <v>0.91666666666666663</v>
      </c>
      <c r="V392">
        <v>45876.59765625</v>
      </c>
      <c r="W392">
        <v>29089.322265625</v>
      </c>
      <c r="X392">
        <v>30896.337890625</v>
      </c>
      <c r="Y392">
        <v>42437.36328125</v>
      </c>
      <c r="Z392">
        <v>66076.1015625</v>
      </c>
      <c r="AA392">
        <v>31594.2265625</v>
      </c>
      <c r="AB392">
        <v>104404.3984375</v>
      </c>
      <c r="AC392">
        <v>99061.3515625</v>
      </c>
      <c r="AD392">
        <v>104007.484375</v>
      </c>
      <c r="AE392">
        <v>126278.875</v>
      </c>
      <c r="AF392">
        <v>23251.259765625</v>
      </c>
      <c r="AG392">
        <v>76456.6875</v>
      </c>
      <c r="AH392">
        <v>42020.29296875</v>
      </c>
      <c r="AI392">
        <v>41245.3671875</v>
      </c>
      <c r="AK392">
        <f t="shared" si="20"/>
        <v>862695.666015625</v>
      </c>
      <c r="AM392" s="2"/>
    </row>
    <row r="393" spans="1:39" x14ac:dyDescent="0.45">
      <c r="A393">
        <v>141</v>
      </c>
      <c r="B393">
        <v>49915.96484375</v>
      </c>
      <c r="C393">
        <v>28336.892578125</v>
      </c>
      <c r="D393">
        <v>29317.419921875</v>
      </c>
      <c r="E393">
        <v>47533.1015625</v>
      </c>
      <c r="F393">
        <v>68456.609375</v>
      </c>
      <c r="G393">
        <v>29879.986328125</v>
      </c>
      <c r="H393">
        <v>107126.28125</v>
      </c>
      <c r="I393">
        <v>96954.6796875</v>
      </c>
      <c r="J393">
        <v>110535.2109375</v>
      </c>
      <c r="K393">
        <v>130073.234375</v>
      </c>
      <c r="L393">
        <v>23891.44140625</v>
      </c>
      <c r="M393">
        <v>69868.4453125</v>
      </c>
      <c r="N393">
        <v>39403.61328125</v>
      </c>
      <c r="O393">
        <v>38173.69921875</v>
      </c>
      <c r="U393" s="2">
        <v>0.9375</v>
      </c>
      <c r="V393">
        <v>49915.96484375</v>
      </c>
      <c r="W393">
        <v>28336.892578125</v>
      </c>
      <c r="X393">
        <v>29317.419921875</v>
      </c>
      <c r="Y393">
        <v>47533.1015625</v>
      </c>
      <c r="Z393">
        <v>68456.609375</v>
      </c>
      <c r="AA393">
        <v>29879.986328125</v>
      </c>
      <c r="AB393">
        <v>107126.28125</v>
      </c>
      <c r="AC393">
        <v>96954.6796875</v>
      </c>
      <c r="AD393">
        <v>110535.2109375</v>
      </c>
      <c r="AE393">
        <v>130073.234375</v>
      </c>
      <c r="AF393">
        <v>23891.44140625</v>
      </c>
      <c r="AG393">
        <v>69868.4453125</v>
      </c>
      <c r="AH393">
        <v>39403.61328125</v>
      </c>
      <c r="AI393">
        <v>38173.69921875</v>
      </c>
      <c r="AK393">
        <f t="shared" si="20"/>
        <v>869466.580078125</v>
      </c>
      <c r="AM393" s="2"/>
    </row>
    <row r="394" spans="1:39" x14ac:dyDescent="0.45">
      <c r="A394">
        <v>142</v>
      </c>
      <c r="B394">
        <v>46657.66015625</v>
      </c>
      <c r="C394">
        <v>27490.380859375</v>
      </c>
      <c r="D394">
        <v>29826.798828125</v>
      </c>
      <c r="E394">
        <v>51388.078125</v>
      </c>
      <c r="F394">
        <v>63216.05078125</v>
      </c>
      <c r="G394">
        <v>27171.3359375</v>
      </c>
      <c r="H394">
        <v>102591.3203125</v>
      </c>
      <c r="I394">
        <v>94553.7734375</v>
      </c>
      <c r="J394">
        <v>107962.453125</v>
      </c>
      <c r="K394">
        <v>125172.5859375</v>
      </c>
      <c r="L394">
        <v>22763.109375</v>
      </c>
      <c r="M394">
        <v>64609.64453125</v>
      </c>
      <c r="N394">
        <v>39765.75</v>
      </c>
      <c r="O394">
        <v>36182.10546875</v>
      </c>
      <c r="U394" s="2">
        <v>0.95833333333333337</v>
      </c>
      <c r="V394">
        <v>46657.66015625</v>
      </c>
      <c r="W394">
        <v>27490.380859375</v>
      </c>
      <c r="X394">
        <v>29826.798828125</v>
      </c>
      <c r="Y394">
        <v>51388.078125</v>
      </c>
      <c r="Z394">
        <v>63216.05078125</v>
      </c>
      <c r="AA394">
        <v>27171.3359375</v>
      </c>
      <c r="AB394">
        <v>102591.3203125</v>
      </c>
      <c r="AC394">
        <v>94553.7734375</v>
      </c>
      <c r="AD394">
        <v>107962.453125</v>
      </c>
      <c r="AE394">
        <v>125172.5859375</v>
      </c>
      <c r="AF394">
        <v>22763.109375</v>
      </c>
      <c r="AG394">
        <v>64609.64453125</v>
      </c>
      <c r="AH394">
        <v>39765.75</v>
      </c>
      <c r="AI394">
        <v>36182.10546875</v>
      </c>
      <c r="AK394">
        <f t="shared" si="20"/>
        <v>839351.046875</v>
      </c>
      <c r="AM394" s="2"/>
    </row>
    <row r="395" spans="1:39" x14ac:dyDescent="0.45">
      <c r="A395">
        <v>143</v>
      </c>
      <c r="B395">
        <v>38091.734375</v>
      </c>
      <c r="C395">
        <v>28931.80859375</v>
      </c>
      <c r="D395">
        <v>25977.541015625</v>
      </c>
      <c r="E395">
        <v>43345.53125</v>
      </c>
      <c r="F395">
        <v>57446.68359375</v>
      </c>
      <c r="G395">
        <v>25751.072265625</v>
      </c>
      <c r="H395">
        <v>91703.40625</v>
      </c>
      <c r="I395">
        <v>87271.140625</v>
      </c>
      <c r="J395">
        <v>96233.546875</v>
      </c>
      <c r="K395">
        <v>111445.96875</v>
      </c>
      <c r="L395">
        <v>25021.8125</v>
      </c>
      <c r="M395">
        <v>59833.32421875</v>
      </c>
      <c r="N395">
        <v>36712.98828125</v>
      </c>
      <c r="O395">
        <v>35561.48828125</v>
      </c>
      <c r="U395" s="2">
        <v>0.97916666666666663</v>
      </c>
      <c r="V395">
        <v>38091.734375</v>
      </c>
      <c r="W395">
        <v>28931.80859375</v>
      </c>
      <c r="X395">
        <v>25977.541015625</v>
      </c>
      <c r="Y395">
        <v>43345.53125</v>
      </c>
      <c r="Z395">
        <v>57446.68359375</v>
      </c>
      <c r="AA395">
        <v>25751.072265625</v>
      </c>
      <c r="AB395">
        <v>91703.40625</v>
      </c>
      <c r="AC395">
        <v>87271.140625</v>
      </c>
      <c r="AD395">
        <v>96233.546875</v>
      </c>
      <c r="AE395">
        <v>111445.96875</v>
      </c>
      <c r="AF395">
        <v>25021.8125</v>
      </c>
      <c r="AG395">
        <v>59833.32421875</v>
      </c>
      <c r="AH395">
        <v>36712.98828125</v>
      </c>
      <c r="AI395">
        <v>35561.48828125</v>
      </c>
      <c r="AK395">
        <f t="shared" si="20"/>
        <v>763328.046875</v>
      </c>
      <c r="AM395" s="2"/>
    </row>
    <row r="396" spans="1:39" x14ac:dyDescent="0.45">
      <c r="A396">
        <v>144</v>
      </c>
      <c r="B396">
        <v>34970.2734375</v>
      </c>
      <c r="C396">
        <v>26133.5</v>
      </c>
      <c r="D396">
        <v>26333.544921875</v>
      </c>
      <c r="E396">
        <v>42431.2265625</v>
      </c>
      <c r="F396">
        <v>50391.796875</v>
      </c>
      <c r="G396">
        <v>24650.90625</v>
      </c>
      <c r="H396">
        <v>85906.109375</v>
      </c>
      <c r="I396">
        <v>80198.6328125</v>
      </c>
      <c r="J396">
        <v>89998.78125</v>
      </c>
      <c r="K396">
        <v>101384.1796875</v>
      </c>
      <c r="L396">
        <v>23769.421875</v>
      </c>
      <c r="M396">
        <v>59177.140625</v>
      </c>
      <c r="N396">
        <v>30871.59765625</v>
      </c>
      <c r="O396">
        <v>30883.990234375</v>
      </c>
      <c r="U396" s="2">
        <v>0</v>
      </c>
      <c r="V396">
        <v>34970.2734375</v>
      </c>
      <c r="W396">
        <v>26133.5</v>
      </c>
      <c r="X396">
        <v>26333.544921875</v>
      </c>
      <c r="Y396">
        <v>42431.2265625</v>
      </c>
      <c r="Z396">
        <v>50391.796875</v>
      </c>
      <c r="AA396">
        <v>24650.90625</v>
      </c>
      <c r="AB396">
        <v>85906.109375</v>
      </c>
      <c r="AC396">
        <v>80198.6328125</v>
      </c>
      <c r="AD396">
        <v>89998.78125</v>
      </c>
      <c r="AE396">
        <v>101384.1796875</v>
      </c>
      <c r="AF396">
        <v>23769.421875</v>
      </c>
      <c r="AG396">
        <v>59177.140625</v>
      </c>
      <c r="AH396">
        <v>30871.59765625</v>
      </c>
      <c r="AI396">
        <v>30883.990234375</v>
      </c>
      <c r="AK396">
        <f t="shared" si="20"/>
        <v>707101.1015625</v>
      </c>
      <c r="AM396" s="2"/>
    </row>
    <row r="397" spans="1:39" x14ac:dyDescent="0.45">
      <c r="A397">
        <v>145</v>
      </c>
      <c r="B397">
        <v>36845.21875</v>
      </c>
      <c r="C397">
        <v>20165.728515625</v>
      </c>
      <c r="D397">
        <v>23969.458984375</v>
      </c>
      <c r="E397">
        <v>43581.58984375</v>
      </c>
      <c r="F397">
        <v>42645.1171875</v>
      </c>
      <c r="G397">
        <v>25921.115234375</v>
      </c>
      <c r="H397">
        <v>80138.703125</v>
      </c>
      <c r="I397">
        <v>73788.3359375</v>
      </c>
      <c r="J397">
        <v>82848.265625</v>
      </c>
      <c r="K397">
        <v>97799.296875</v>
      </c>
      <c r="L397">
        <v>18929.908203125</v>
      </c>
      <c r="M397">
        <v>55892.0546875</v>
      </c>
      <c r="N397">
        <v>28426.95703125</v>
      </c>
      <c r="O397">
        <v>25186.138671875</v>
      </c>
      <c r="U397" s="2">
        <v>2.0833333333333332E-2</v>
      </c>
      <c r="V397">
        <v>36845.21875</v>
      </c>
      <c r="W397">
        <v>20165.728515625</v>
      </c>
      <c r="X397">
        <v>23969.458984375</v>
      </c>
      <c r="Y397">
        <v>43581.58984375</v>
      </c>
      <c r="Z397">
        <v>42645.1171875</v>
      </c>
      <c r="AA397">
        <v>25921.115234375</v>
      </c>
      <c r="AB397">
        <v>80138.703125</v>
      </c>
      <c r="AC397">
        <v>73788.3359375</v>
      </c>
      <c r="AD397">
        <v>82848.265625</v>
      </c>
      <c r="AE397">
        <v>97799.296875</v>
      </c>
      <c r="AF397">
        <v>18929.908203125</v>
      </c>
      <c r="AG397">
        <v>55892.0546875</v>
      </c>
      <c r="AH397">
        <v>28426.95703125</v>
      </c>
      <c r="AI397">
        <v>25186.138671875</v>
      </c>
      <c r="AK397">
        <f t="shared" si="20"/>
        <v>656137.888671875</v>
      </c>
      <c r="AM397" s="2"/>
    </row>
    <row r="398" spans="1:39" x14ac:dyDescent="0.45">
      <c r="A398">
        <v>146</v>
      </c>
      <c r="B398">
        <v>37628.65234375</v>
      </c>
      <c r="C398">
        <v>19156.265625</v>
      </c>
      <c r="D398">
        <v>20689.955078125</v>
      </c>
      <c r="E398">
        <v>37709.7890625</v>
      </c>
      <c r="F398">
        <v>42129.55078125</v>
      </c>
      <c r="G398">
        <v>27131.25</v>
      </c>
      <c r="H398">
        <v>77753.96875</v>
      </c>
      <c r="I398">
        <v>67990.2421875</v>
      </c>
      <c r="J398">
        <v>77208.6875</v>
      </c>
      <c r="K398">
        <v>93464.0859375</v>
      </c>
      <c r="L398">
        <v>16959.55078125</v>
      </c>
      <c r="M398">
        <v>54947.7109375</v>
      </c>
      <c r="N398">
        <v>22239.384765625</v>
      </c>
      <c r="O398">
        <v>22097.123046875</v>
      </c>
      <c r="U398" s="2">
        <v>4.1666666666666664E-2</v>
      </c>
      <c r="V398">
        <v>37628.65234375</v>
      </c>
      <c r="W398">
        <v>19156.265625</v>
      </c>
      <c r="X398">
        <v>20689.955078125</v>
      </c>
      <c r="Y398">
        <v>37709.7890625</v>
      </c>
      <c r="Z398">
        <v>42129.55078125</v>
      </c>
      <c r="AA398">
        <v>27131.25</v>
      </c>
      <c r="AB398">
        <v>77753.96875</v>
      </c>
      <c r="AC398">
        <v>67990.2421875</v>
      </c>
      <c r="AD398">
        <v>77208.6875</v>
      </c>
      <c r="AE398">
        <v>93464.0859375</v>
      </c>
      <c r="AF398">
        <v>16959.55078125</v>
      </c>
      <c r="AG398">
        <v>54947.7109375</v>
      </c>
      <c r="AH398">
        <v>22239.384765625</v>
      </c>
      <c r="AI398">
        <v>22097.123046875</v>
      </c>
      <c r="AK398">
        <f t="shared" si="20"/>
        <v>617106.216796875</v>
      </c>
      <c r="AM398" s="2"/>
    </row>
    <row r="399" spans="1:39" x14ac:dyDescent="0.45">
      <c r="A399">
        <v>147</v>
      </c>
      <c r="B399">
        <v>29917.634765625</v>
      </c>
      <c r="C399">
        <v>16266.8896484375</v>
      </c>
      <c r="D399">
        <v>19776.421875</v>
      </c>
      <c r="E399">
        <v>30849.54296875</v>
      </c>
      <c r="F399">
        <v>38304.328125</v>
      </c>
      <c r="G399">
        <v>20668.103515625</v>
      </c>
      <c r="H399">
        <v>66575.1640625</v>
      </c>
      <c r="I399">
        <v>63300.5859375</v>
      </c>
      <c r="J399">
        <v>66718.9765625</v>
      </c>
      <c r="K399">
        <v>81920.265625</v>
      </c>
      <c r="L399">
        <v>15423.4140625</v>
      </c>
      <c r="M399">
        <v>46290.9375</v>
      </c>
      <c r="N399">
        <v>23141.654296875</v>
      </c>
      <c r="O399">
        <v>23795.67578125</v>
      </c>
      <c r="U399" s="2">
        <v>6.25E-2</v>
      </c>
      <c r="V399">
        <v>29917.634765625</v>
      </c>
      <c r="W399">
        <v>16266.8896484375</v>
      </c>
      <c r="X399">
        <v>19776.421875</v>
      </c>
      <c r="Y399">
        <v>30849.54296875</v>
      </c>
      <c r="Z399">
        <v>38304.328125</v>
      </c>
      <c r="AA399">
        <v>20668.103515625</v>
      </c>
      <c r="AB399">
        <v>66575.1640625</v>
      </c>
      <c r="AC399">
        <v>63300.5859375</v>
      </c>
      <c r="AD399">
        <v>66718.9765625</v>
      </c>
      <c r="AE399">
        <v>81920.265625</v>
      </c>
      <c r="AF399">
        <v>15423.4140625</v>
      </c>
      <c r="AG399">
        <v>46290.9375</v>
      </c>
      <c r="AH399">
        <v>23141.654296875</v>
      </c>
      <c r="AI399">
        <v>23795.67578125</v>
      </c>
      <c r="AK399">
        <f t="shared" si="20"/>
        <v>542949.5947265625</v>
      </c>
      <c r="AM399" s="2"/>
    </row>
    <row r="400" spans="1:39" x14ac:dyDescent="0.45">
      <c r="A400">
        <v>148</v>
      </c>
      <c r="B400">
        <v>29359.392578125</v>
      </c>
      <c r="C400">
        <v>15659.94140625</v>
      </c>
      <c r="D400">
        <v>19085.966796875</v>
      </c>
      <c r="E400">
        <v>28102.66796875</v>
      </c>
      <c r="F400">
        <v>37879.671875</v>
      </c>
      <c r="G400">
        <v>20572.087890625</v>
      </c>
      <c r="H400">
        <v>64859.19140625</v>
      </c>
      <c r="I400">
        <v>61065.81640625</v>
      </c>
      <c r="J400">
        <v>63693.03125</v>
      </c>
      <c r="K400">
        <v>78875.671875</v>
      </c>
      <c r="L400">
        <v>14219.9208984375</v>
      </c>
      <c r="M400">
        <v>45474.671875</v>
      </c>
      <c r="N400">
        <v>22479.50390625</v>
      </c>
      <c r="O400">
        <v>22623.30078125</v>
      </c>
      <c r="U400" s="2">
        <v>8.3333333333333329E-2</v>
      </c>
      <c r="V400">
        <v>29359.392578125</v>
      </c>
      <c r="W400">
        <v>15659.94140625</v>
      </c>
      <c r="X400">
        <v>19085.966796875</v>
      </c>
      <c r="Y400">
        <v>28102.66796875</v>
      </c>
      <c r="Z400">
        <v>37879.671875</v>
      </c>
      <c r="AA400">
        <v>20572.087890625</v>
      </c>
      <c r="AB400">
        <v>64859.19140625</v>
      </c>
      <c r="AC400">
        <v>61065.81640625</v>
      </c>
      <c r="AD400">
        <v>63693.03125</v>
      </c>
      <c r="AE400">
        <v>78875.671875</v>
      </c>
      <c r="AF400">
        <v>14219.9208984375</v>
      </c>
      <c r="AG400">
        <v>45474.671875</v>
      </c>
      <c r="AH400">
        <v>22479.50390625</v>
      </c>
      <c r="AI400">
        <v>22623.30078125</v>
      </c>
      <c r="AK400">
        <f t="shared" si="20"/>
        <v>523950.8369140625</v>
      </c>
      <c r="AM400" s="2"/>
    </row>
    <row r="401" spans="1:39" x14ac:dyDescent="0.45">
      <c r="A401">
        <v>149</v>
      </c>
      <c r="B401">
        <v>28427.966796875</v>
      </c>
      <c r="C401">
        <v>16126.9521484375</v>
      </c>
      <c r="D401">
        <v>22468.8984375</v>
      </c>
      <c r="E401">
        <v>26604.349609375</v>
      </c>
      <c r="F401">
        <v>39798.015625</v>
      </c>
      <c r="G401">
        <v>23190.265625</v>
      </c>
      <c r="H401">
        <v>67213.9921875</v>
      </c>
      <c r="I401">
        <v>62391.35546875</v>
      </c>
      <c r="J401">
        <v>64109.8046875</v>
      </c>
      <c r="K401">
        <v>77314.2109375</v>
      </c>
      <c r="L401">
        <v>14970.6611328125</v>
      </c>
      <c r="M401">
        <v>50730.34765625</v>
      </c>
      <c r="N401">
        <v>20078.953125</v>
      </c>
      <c r="O401">
        <v>20524.615234375</v>
      </c>
      <c r="U401" s="2">
        <v>0.10416666666666667</v>
      </c>
      <c r="V401">
        <v>28427.966796875</v>
      </c>
      <c r="W401">
        <v>16126.9521484375</v>
      </c>
      <c r="X401">
        <v>22468.8984375</v>
      </c>
      <c r="Y401">
        <v>26604.349609375</v>
      </c>
      <c r="Z401">
        <v>39798.015625</v>
      </c>
      <c r="AA401">
        <v>23190.265625</v>
      </c>
      <c r="AB401">
        <v>67213.9921875</v>
      </c>
      <c r="AC401">
        <v>62391.35546875</v>
      </c>
      <c r="AD401">
        <v>64109.8046875</v>
      </c>
      <c r="AE401">
        <v>77314.2109375</v>
      </c>
      <c r="AF401">
        <v>14970.6611328125</v>
      </c>
      <c r="AG401">
        <v>50730.34765625</v>
      </c>
      <c r="AH401">
        <v>20078.953125</v>
      </c>
      <c r="AI401">
        <v>20524.615234375</v>
      </c>
      <c r="AK401">
        <f t="shared" si="20"/>
        <v>533950.388671875</v>
      </c>
      <c r="AM401" s="2"/>
    </row>
    <row r="402" spans="1:39" x14ac:dyDescent="0.45">
      <c r="A402">
        <v>150</v>
      </c>
      <c r="B402">
        <v>26948.193359375</v>
      </c>
      <c r="C402">
        <v>12359.1435546875</v>
      </c>
      <c r="D402">
        <v>19625.32421875</v>
      </c>
      <c r="E402">
        <v>27513.98828125</v>
      </c>
      <c r="F402">
        <v>33047.29296875</v>
      </c>
      <c r="G402">
        <v>22440.359375</v>
      </c>
      <c r="H402">
        <v>59195.87109375</v>
      </c>
      <c r="I402">
        <v>60163.58203125</v>
      </c>
      <c r="J402">
        <v>58340.28515625</v>
      </c>
      <c r="K402">
        <v>74210.7890625</v>
      </c>
      <c r="L402">
        <v>13030.078125</v>
      </c>
      <c r="M402">
        <v>45350.66015625</v>
      </c>
      <c r="N402">
        <v>19832.857421875</v>
      </c>
      <c r="O402">
        <v>19236.21875</v>
      </c>
      <c r="U402" s="2">
        <v>0.125</v>
      </c>
      <c r="V402">
        <v>26948.193359375</v>
      </c>
      <c r="W402">
        <v>12359.1435546875</v>
      </c>
      <c r="X402">
        <v>19625.32421875</v>
      </c>
      <c r="Y402">
        <v>27513.98828125</v>
      </c>
      <c r="Z402">
        <v>33047.29296875</v>
      </c>
      <c r="AA402">
        <v>22440.359375</v>
      </c>
      <c r="AB402">
        <v>59195.87109375</v>
      </c>
      <c r="AC402">
        <v>60163.58203125</v>
      </c>
      <c r="AD402">
        <v>58340.28515625</v>
      </c>
      <c r="AE402">
        <v>74210.7890625</v>
      </c>
      <c r="AF402">
        <v>13030.078125</v>
      </c>
      <c r="AG402">
        <v>45350.66015625</v>
      </c>
      <c r="AH402">
        <v>19832.857421875</v>
      </c>
      <c r="AI402">
        <v>19236.21875</v>
      </c>
      <c r="AK402">
        <f t="shared" si="20"/>
        <v>491294.6435546875</v>
      </c>
      <c r="AM402" s="2"/>
    </row>
    <row r="403" spans="1:39" x14ac:dyDescent="0.45">
      <c r="A403">
        <v>151</v>
      </c>
      <c r="B403">
        <v>25076.279296875</v>
      </c>
      <c r="C403">
        <v>13063.3427734375</v>
      </c>
      <c r="D403">
        <v>20454.359375</v>
      </c>
      <c r="E403">
        <v>27969.837890625</v>
      </c>
      <c r="F403">
        <v>33706.09375</v>
      </c>
      <c r="G403">
        <v>21822.3046875</v>
      </c>
      <c r="H403">
        <v>58175.56640625</v>
      </c>
      <c r="I403">
        <v>62166.18359375</v>
      </c>
      <c r="J403">
        <v>58136.1796875</v>
      </c>
      <c r="K403">
        <v>74612.71875</v>
      </c>
      <c r="L403">
        <v>12950.046875</v>
      </c>
      <c r="M403">
        <v>46110.8828125</v>
      </c>
      <c r="N403">
        <v>21781.31640625</v>
      </c>
      <c r="O403">
        <v>20116.494140625</v>
      </c>
      <c r="U403" s="2">
        <v>0.14583333333333334</v>
      </c>
      <c r="V403">
        <v>25076.279296875</v>
      </c>
      <c r="W403">
        <v>13063.3427734375</v>
      </c>
      <c r="X403">
        <v>20454.359375</v>
      </c>
      <c r="Y403">
        <v>27969.837890625</v>
      </c>
      <c r="Z403">
        <v>33706.09375</v>
      </c>
      <c r="AA403">
        <v>21822.3046875</v>
      </c>
      <c r="AB403">
        <v>58175.56640625</v>
      </c>
      <c r="AC403">
        <v>62166.18359375</v>
      </c>
      <c r="AD403">
        <v>58136.1796875</v>
      </c>
      <c r="AE403">
        <v>74612.71875</v>
      </c>
      <c r="AF403">
        <v>12950.046875</v>
      </c>
      <c r="AG403">
        <v>46110.8828125</v>
      </c>
      <c r="AH403">
        <v>21781.31640625</v>
      </c>
      <c r="AI403">
        <v>20116.494140625</v>
      </c>
      <c r="AK403">
        <f t="shared" si="20"/>
        <v>496141.6064453125</v>
      </c>
      <c r="AM403" s="2"/>
    </row>
    <row r="404" spans="1:39" x14ac:dyDescent="0.45">
      <c r="A404">
        <v>152</v>
      </c>
      <c r="B404">
        <v>25482.060546875</v>
      </c>
      <c r="C404">
        <v>12550.296875</v>
      </c>
      <c r="D404">
        <v>20449.662109375</v>
      </c>
      <c r="E404">
        <v>27962.623046875</v>
      </c>
      <c r="F404">
        <v>33321.69921875</v>
      </c>
      <c r="G404">
        <v>17563.47265625</v>
      </c>
      <c r="H404">
        <v>58607.6640625</v>
      </c>
      <c r="I404">
        <v>56778.23828125</v>
      </c>
      <c r="J404">
        <v>58638.27734375</v>
      </c>
      <c r="K404">
        <v>69981.84375</v>
      </c>
      <c r="L404">
        <v>12241.8251953125</v>
      </c>
      <c r="M404">
        <v>42371.62109375</v>
      </c>
      <c r="N404">
        <v>20689.0390625</v>
      </c>
      <c r="O404">
        <v>19858.384765625</v>
      </c>
      <c r="U404" s="2">
        <v>0.16666666666666666</v>
      </c>
      <c r="V404">
        <v>25482.060546875</v>
      </c>
      <c r="W404">
        <v>12550.296875</v>
      </c>
      <c r="X404">
        <v>20449.662109375</v>
      </c>
      <c r="Y404">
        <v>27962.623046875</v>
      </c>
      <c r="Z404">
        <v>33321.69921875</v>
      </c>
      <c r="AA404">
        <v>17563.47265625</v>
      </c>
      <c r="AB404">
        <v>58607.6640625</v>
      </c>
      <c r="AC404">
        <v>56778.23828125</v>
      </c>
      <c r="AD404">
        <v>58638.27734375</v>
      </c>
      <c r="AE404">
        <v>69981.84375</v>
      </c>
      <c r="AF404">
        <v>12241.8251953125</v>
      </c>
      <c r="AG404">
        <v>42371.62109375</v>
      </c>
      <c r="AH404">
        <v>20689.0390625</v>
      </c>
      <c r="AI404">
        <v>19858.384765625</v>
      </c>
      <c r="AK404">
        <f t="shared" si="20"/>
        <v>476496.7080078125</v>
      </c>
      <c r="AM404" s="2"/>
    </row>
    <row r="405" spans="1:39" x14ac:dyDescent="0.45">
      <c r="A405">
        <v>153</v>
      </c>
      <c r="B405">
        <v>24618.1484375</v>
      </c>
      <c r="C405">
        <v>13111.48828125</v>
      </c>
      <c r="D405">
        <v>19584.5234375</v>
      </c>
      <c r="E405">
        <v>29923.390625</v>
      </c>
      <c r="F405">
        <v>31473.521484375</v>
      </c>
      <c r="G405">
        <v>17527.453125</v>
      </c>
      <c r="H405">
        <v>57525.40625</v>
      </c>
      <c r="I405">
        <v>58060.7265625</v>
      </c>
      <c r="J405">
        <v>58716.33984375</v>
      </c>
      <c r="K405">
        <v>70625.9140625</v>
      </c>
      <c r="L405">
        <v>13396.185546875</v>
      </c>
      <c r="M405">
        <v>41415.75390625</v>
      </c>
      <c r="N405">
        <v>21385.224609375</v>
      </c>
      <c r="O405">
        <v>20745.884765625</v>
      </c>
      <c r="U405" s="2">
        <v>0.1875</v>
      </c>
      <c r="V405">
        <v>24618.1484375</v>
      </c>
      <c r="W405">
        <v>13111.48828125</v>
      </c>
      <c r="X405">
        <v>19584.5234375</v>
      </c>
      <c r="Y405">
        <v>29923.390625</v>
      </c>
      <c r="Z405">
        <v>31473.521484375</v>
      </c>
      <c r="AA405">
        <v>17527.453125</v>
      </c>
      <c r="AB405">
        <v>57525.40625</v>
      </c>
      <c r="AC405">
        <v>58060.7265625</v>
      </c>
      <c r="AD405">
        <v>58716.33984375</v>
      </c>
      <c r="AE405">
        <v>70625.9140625</v>
      </c>
      <c r="AF405">
        <v>13396.185546875</v>
      </c>
      <c r="AG405">
        <v>41415.75390625</v>
      </c>
      <c r="AH405">
        <v>21385.224609375</v>
      </c>
      <c r="AI405">
        <v>20745.884765625</v>
      </c>
      <c r="AK405">
        <f t="shared" si="20"/>
        <v>478109.9609375</v>
      </c>
      <c r="AM405" s="2"/>
    </row>
    <row r="406" spans="1:39" x14ac:dyDescent="0.45">
      <c r="A406">
        <v>154</v>
      </c>
      <c r="B406">
        <v>24121.2265625</v>
      </c>
      <c r="C406">
        <v>13346.86328125</v>
      </c>
      <c r="D406">
        <v>17153.224609375</v>
      </c>
      <c r="E406">
        <v>27744.52734375</v>
      </c>
      <c r="F406">
        <v>31124.966796875</v>
      </c>
      <c r="G406">
        <v>16067.2001953125</v>
      </c>
      <c r="H406">
        <v>55267.4609375</v>
      </c>
      <c r="I406">
        <v>54067.296875</v>
      </c>
      <c r="J406">
        <v>56515.80859375</v>
      </c>
      <c r="K406">
        <v>67691.21875</v>
      </c>
      <c r="L406">
        <v>12954.0380859375</v>
      </c>
      <c r="M406">
        <v>37984.3046875</v>
      </c>
      <c r="N406">
        <v>19808.841796875</v>
      </c>
      <c r="O406">
        <v>19126.16796875</v>
      </c>
      <c r="U406" s="2">
        <v>0.20833333333333334</v>
      </c>
      <c r="V406">
        <v>24121.2265625</v>
      </c>
      <c r="W406">
        <v>13346.86328125</v>
      </c>
      <c r="X406">
        <v>17153.224609375</v>
      </c>
      <c r="Y406">
        <v>27744.52734375</v>
      </c>
      <c r="Z406">
        <v>31124.966796875</v>
      </c>
      <c r="AA406">
        <v>16067.2001953125</v>
      </c>
      <c r="AB406">
        <v>55267.4609375</v>
      </c>
      <c r="AC406">
        <v>54067.296875</v>
      </c>
      <c r="AD406">
        <v>56515.80859375</v>
      </c>
      <c r="AE406">
        <v>67691.21875</v>
      </c>
      <c r="AF406">
        <v>12954.0380859375</v>
      </c>
      <c r="AG406">
        <v>37984.3046875</v>
      </c>
      <c r="AH406">
        <v>19808.841796875</v>
      </c>
      <c r="AI406">
        <v>19126.16796875</v>
      </c>
      <c r="AK406">
        <f t="shared" si="20"/>
        <v>452973.146484375</v>
      </c>
      <c r="AM406" s="2"/>
    </row>
    <row r="407" spans="1:39" x14ac:dyDescent="0.45">
      <c r="A407">
        <v>155</v>
      </c>
      <c r="B407">
        <v>29340.818359375</v>
      </c>
      <c r="C407">
        <v>16491.875</v>
      </c>
      <c r="D407">
        <v>18033.5</v>
      </c>
      <c r="E407">
        <v>29241.27734375</v>
      </c>
      <c r="F407">
        <v>38557.95703125</v>
      </c>
      <c r="G407">
        <v>16091.2158203125</v>
      </c>
      <c r="H407">
        <v>63701.03125</v>
      </c>
      <c r="I407">
        <v>54901.61328125</v>
      </c>
      <c r="J407">
        <v>65968.09375</v>
      </c>
      <c r="K407">
        <v>73728.734375</v>
      </c>
      <c r="L407">
        <v>14530.556640625</v>
      </c>
      <c r="M407">
        <v>41003.2265625</v>
      </c>
      <c r="N407">
        <v>22371.19140625</v>
      </c>
      <c r="O407">
        <v>21837.044921875</v>
      </c>
      <c r="U407" s="2">
        <v>0.22916666666666666</v>
      </c>
      <c r="V407">
        <v>29340.818359375</v>
      </c>
      <c r="W407">
        <v>16491.875</v>
      </c>
      <c r="X407">
        <v>18033.5</v>
      </c>
      <c r="Y407">
        <v>29241.27734375</v>
      </c>
      <c r="Z407">
        <v>38557.95703125</v>
      </c>
      <c r="AA407">
        <v>16091.2158203125</v>
      </c>
      <c r="AB407">
        <v>63701.03125</v>
      </c>
      <c r="AC407">
        <v>54901.61328125</v>
      </c>
      <c r="AD407">
        <v>65968.09375</v>
      </c>
      <c r="AE407">
        <v>73728.734375</v>
      </c>
      <c r="AF407">
        <v>14530.556640625</v>
      </c>
      <c r="AG407">
        <v>41003.2265625</v>
      </c>
      <c r="AH407">
        <v>22371.19140625</v>
      </c>
      <c r="AI407">
        <v>21837.044921875</v>
      </c>
      <c r="AK407">
        <f t="shared" si="20"/>
        <v>505798.1357421875</v>
      </c>
      <c r="AM407" s="2"/>
    </row>
    <row r="408" spans="1:39" x14ac:dyDescent="0.45">
      <c r="A408">
        <v>156</v>
      </c>
      <c r="B408">
        <v>31230.5703125</v>
      </c>
      <c r="C408">
        <v>17776.626953125</v>
      </c>
      <c r="D408">
        <v>20934.40234375</v>
      </c>
      <c r="E408">
        <v>28948.908203125</v>
      </c>
      <c r="F408">
        <v>43554.40234375</v>
      </c>
      <c r="G408">
        <v>17539.513671875</v>
      </c>
      <c r="H408">
        <v>68179.71875</v>
      </c>
      <c r="I408">
        <v>53921.26171875</v>
      </c>
      <c r="J408">
        <v>70823.4765625</v>
      </c>
      <c r="K408">
        <v>74082.84375</v>
      </c>
      <c r="L408">
        <v>14840.654296875</v>
      </c>
      <c r="M408">
        <v>43726.109375</v>
      </c>
      <c r="N408">
        <v>21501.669921875</v>
      </c>
      <c r="O408">
        <v>20712.68359375</v>
      </c>
      <c r="U408" s="2">
        <v>0.25</v>
      </c>
      <c r="V408">
        <v>31230.5703125</v>
      </c>
      <c r="W408">
        <v>17776.626953125</v>
      </c>
      <c r="X408">
        <v>20934.40234375</v>
      </c>
      <c r="Y408">
        <v>28948.908203125</v>
      </c>
      <c r="Z408">
        <v>43554.40234375</v>
      </c>
      <c r="AA408">
        <v>17539.513671875</v>
      </c>
      <c r="AB408">
        <v>68179.71875</v>
      </c>
      <c r="AC408">
        <v>53921.26171875</v>
      </c>
      <c r="AD408">
        <v>70823.4765625</v>
      </c>
      <c r="AE408">
        <v>74082.84375</v>
      </c>
      <c r="AF408">
        <v>14840.654296875</v>
      </c>
      <c r="AG408">
        <v>43726.109375</v>
      </c>
      <c r="AH408">
        <v>21501.669921875</v>
      </c>
      <c r="AI408">
        <v>20712.68359375</v>
      </c>
      <c r="AK408">
        <f t="shared" si="20"/>
        <v>527772.841796875</v>
      </c>
      <c r="AM408" s="2"/>
    </row>
    <row r="409" spans="1:39" x14ac:dyDescent="0.45">
      <c r="A409">
        <v>157</v>
      </c>
      <c r="B409">
        <v>32346.625</v>
      </c>
      <c r="C409">
        <v>19478.583984375</v>
      </c>
      <c r="D409">
        <v>21848.890625</v>
      </c>
      <c r="E409">
        <v>27492.685546875</v>
      </c>
      <c r="F409">
        <v>48945.78125</v>
      </c>
      <c r="G409">
        <v>18569.65234375</v>
      </c>
      <c r="H409">
        <v>73908.7734375</v>
      </c>
      <c r="I409">
        <v>62423.37890625</v>
      </c>
      <c r="J409">
        <v>74934.1640625</v>
      </c>
      <c r="K409">
        <v>86541.0234375</v>
      </c>
      <c r="L409">
        <v>15284.78515625</v>
      </c>
      <c r="M409">
        <v>51022.44921875</v>
      </c>
      <c r="N409">
        <v>26910.52734375</v>
      </c>
      <c r="O409">
        <v>28863.3046875</v>
      </c>
      <c r="U409" s="2">
        <v>0.27083333333333331</v>
      </c>
      <c r="V409">
        <v>32346.625</v>
      </c>
      <c r="W409">
        <v>19478.583984375</v>
      </c>
      <c r="X409">
        <v>21848.890625</v>
      </c>
      <c r="Y409">
        <v>27492.685546875</v>
      </c>
      <c r="Z409">
        <v>48945.78125</v>
      </c>
      <c r="AA409">
        <v>18569.65234375</v>
      </c>
      <c r="AB409">
        <v>73908.7734375</v>
      </c>
      <c r="AC409">
        <v>62423.37890625</v>
      </c>
      <c r="AD409">
        <v>74934.1640625</v>
      </c>
      <c r="AE409">
        <v>86541.0234375</v>
      </c>
      <c r="AF409">
        <v>15284.78515625</v>
      </c>
      <c r="AG409">
        <v>51022.44921875</v>
      </c>
      <c r="AH409">
        <v>26910.52734375</v>
      </c>
      <c r="AI409">
        <v>28863.3046875</v>
      </c>
      <c r="AK409">
        <f t="shared" si="20"/>
        <v>588570.625</v>
      </c>
      <c r="AM409" s="2"/>
    </row>
    <row r="410" spans="1:39" x14ac:dyDescent="0.45">
      <c r="A410">
        <v>158</v>
      </c>
      <c r="B410">
        <v>33987.66015625</v>
      </c>
      <c r="C410">
        <v>20767.654296875</v>
      </c>
      <c r="D410">
        <v>21722.5390625</v>
      </c>
      <c r="E410">
        <v>30933.736328125</v>
      </c>
      <c r="F410">
        <v>46618.921875</v>
      </c>
      <c r="G410">
        <v>18949.697265625</v>
      </c>
      <c r="H410">
        <v>74867.8515625</v>
      </c>
      <c r="I410">
        <v>66679.3203125</v>
      </c>
      <c r="J410">
        <v>75646.7265625</v>
      </c>
      <c r="K410">
        <v>89442.265625</v>
      </c>
      <c r="L410">
        <v>16067.017578125</v>
      </c>
      <c r="M410">
        <v>48677.734375</v>
      </c>
      <c r="N410">
        <v>30983.671875</v>
      </c>
      <c r="O410">
        <v>31120.0625</v>
      </c>
      <c r="U410" s="2">
        <v>0.29166666666666669</v>
      </c>
      <c r="V410">
        <v>33987.66015625</v>
      </c>
      <c r="W410">
        <v>20767.654296875</v>
      </c>
      <c r="X410">
        <v>21722.5390625</v>
      </c>
      <c r="Y410">
        <v>30933.736328125</v>
      </c>
      <c r="Z410">
        <v>46618.921875</v>
      </c>
      <c r="AA410">
        <v>18949.697265625</v>
      </c>
      <c r="AB410">
        <v>74867.8515625</v>
      </c>
      <c r="AC410">
        <v>66679.3203125</v>
      </c>
      <c r="AD410">
        <v>75646.7265625</v>
      </c>
      <c r="AE410">
        <v>89442.265625</v>
      </c>
      <c r="AF410">
        <v>16067.017578125</v>
      </c>
      <c r="AG410">
        <v>48677.734375</v>
      </c>
      <c r="AH410">
        <v>30983.671875</v>
      </c>
      <c r="AI410">
        <v>31120.0625</v>
      </c>
      <c r="AK410">
        <f t="shared" si="20"/>
        <v>606464.859375</v>
      </c>
      <c r="AM410" s="2"/>
    </row>
    <row r="411" spans="1:39" x14ac:dyDescent="0.45">
      <c r="A411">
        <v>159</v>
      </c>
      <c r="B411">
        <v>31985.943359375</v>
      </c>
      <c r="C411">
        <v>20122.26171875</v>
      </c>
      <c r="D411">
        <v>22513.220703125</v>
      </c>
      <c r="E411">
        <v>32032.7890625</v>
      </c>
      <c r="F411">
        <v>45549.8359375</v>
      </c>
      <c r="G411">
        <v>21030.146484375</v>
      </c>
      <c r="H411">
        <v>73795.234375</v>
      </c>
      <c r="I411">
        <v>72279.796875</v>
      </c>
      <c r="J411">
        <v>73403.9140625</v>
      </c>
      <c r="K411">
        <v>92018.140625</v>
      </c>
      <c r="L411">
        <v>16255.080078125</v>
      </c>
      <c r="M411">
        <v>53615.3046875</v>
      </c>
      <c r="N411">
        <v>33976.296875</v>
      </c>
      <c r="O411">
        <v>31864.28515625</v>
      </c>
      <c r="U411" s="2">
        <v>0.3125</v>
      </c>
      <c r="V411">
        <v>31985.943359375</v>
      </c>
      <c r="W411">
        <v>20122.26171875</v>
      </c>
      <c r="X411">
        <v>22513.220703125</v>
      </c>
      <c r="Y411">
        <v>32032.7890625</v>
      </c>
      <c r="Z411">
        <v>45549.8359375</v>
      </c>
      <c r="AA411">
        <v>21030.146484375</v>
      </c>
      <c r="AB411">
        <v>73795.234375</v>
      </c>
      <c r="AC411">
        <v>72279.796875</v>
      </c>
      <c r="AD411">
        <v>73403.9140625</v>
      </c>
      <c r="AE411">
        <v>92018.140625</v>
      </c>
      <c r="AF411">
        <v>16255.080078125</v>
      </c>
      <c r="AG411">
        <v>53615.3046875</v>
      </c>
      <c r="AH411">
        <v>33976.296875</v>
      </c>
      <c r="AI411">
        <v>31864.28515625</v>
      </c>
      <c r="AK411">
        <f t="shared" si="20"/>
        <v>620442.25</v>
      </c>
      <c r="AM411" s="2"/>
    </row>
    <row r="412" spans="1:39" x14ac:dyDescent="0.45">
      <c r="A412">
        <v>160</v>
      </c>
      <c r="B412">
        <v>29022.333984375</v>
      </c>
      <c r="C412">
        <v>18616.541015625</v>
      </c>
      <c r="D412">
        <v>17662.66015625</v>
      </c>
      <c r="E412">
        <v>29983.66796875</v>
      </c>
      <c r="F412">
        <v>38333.52734375</v>
      </c>
      <c r="G412">
        <v>18219.599609375</v>
      </c>
      <c r="H412">
        <v>64895.15234375</v>
      </c>
      <c r="I412">
        <v>62412.25</v>
      </c>
      <c r="J412">
        <v>64939.80078125</v>
      </c>
      <c r="K412">
        <v>80101.828125</v>
      </c>
      <c r="L412">
        <v>17379.4296875</v>
      </c>
      <c r="M412">
        <v>43455.953125</v>
      </c>
      <c r="N412">
        <v>32289.970703125</v>
      </c>
      <c r="O412">
        <v>27574.8984375</v>
      </c>
      <c r="U412" s="2">
        <v>0.33333333333333331</v>
      </c>
      <c r="V412">
        <v>29022.333984375</v>
      </c>
      <c r="W412">
        <v>18616.541015625</v>
      </c>
      <c r="X412">
        <v>17662.66015625</v>
      </c>
      <c r="Y412">
        <v>29983.66796875</v>
      </c>
      <c r="Z412">
        <v>38333.52734375</v>
      </c>
      <c r="AA412">
        <v>18219.599609375</v>
      </c>
      <c r="AB412">
        <v>64895.15234375</v>
      </c>
      <c r="AC412">
        <v>62412.25</v>
      </c>
      <c r="AD412">
        <v>64939.80078125</v>
      </c>
      <c r="AE412">
        <v>80101.828125</v>
      </c>
      <c r="AF412">
        <v>17379.4296875</v>
      </c>
      <c r="AG412">
        <v>43455.953125</v>
      </c>
      <c r="AH412">
        <v>32289.970703125</v>
      </c>
      <c r="AI412">
        <v>27574.8984375</v>
      </c>
      <c r="AK412">
        <f t="shared" si="20"/>
        <v>544887.61328125</v>
      </c>
      <c r="AM412" s="2"/>
    </row>
    <row r="413" spans="1:39" x14ac:dyDescent="0.45">
      <c r="A413">
        <v>161</v>
      </c>
      <c r="B413">
        <v>25171.873046875</v>
      </c>
      <c r="C413">
        <v>15756.546875</v>
      </c>
      <c r="D413">
        <v>15341.787109375</v>
      </c>
      <c r="E413">
        <v>20600.525390625</v>
      </c>
      <c r="F413">
        <v>34162.20703125</v>
      </c>
      <c r="G413">
        <v>14970.947265625</v>
      </c>
      <c r="H413">
        <v>56927.2734375</v>
      </c>
      <c r="I413">
        <v>53773.203125</v>
      </c>
      <c r="J413">
        <v>55469.5546875</v>
      </c>
      <c r="K413">
        <v>70955.96875</v>
      </c>
      <c r="L413">
        <v>13874.333984375</v>
      </c>
      <c r="M413">
        <v>40190.5546875</v>
      </c>
      <c r="N413">
        <v>36102.828125</v>
      </c>
      <c r="O413">
        <v>30649.47265625</v>
      </c>
      <c r="U413" s="2">
        <v>0.35416666666666669</v>
      </c>
      <c r="V413">
        <v>25171.873046875</v>
      </c>
      <c r="W413">
        <v>15756.546875</v>
      </c>
      <c r="X413">
        <v>15341.787109375</v>
      </c>
      <c r="Y413">
        <v>20600.525390625</v>
      </c>
      <c r="Z413">
        <v>34162.20703125</v>
      </c>
      <c r="AA413">
        <v>14970.947265625</v>
      </c>
      <c r="AB413">
        <v>56927.2734375</v>
      </c>
      <c r="AC413">
        <v>53773.203125</v>
      </c>
      <c r="AD413">
        <v>55469.5546875</v>
      </c>
      <c r="AE413">
        <v>70955.96875</v>
      </c>
      <c r="AF413">
        <v>13874.333984375</v>
      </c>
      <c r="AG413">
        <v>40190.5546875</v>
      </c>
      <c r="AH413">
        <v>36102.828125</v>
      </c>
      <c r="AI413">
        <v>30649.47265625</v>
      </c>
      <c r="AK413">
        <f t="shared" si="20"/>
        <v>483947.076171875</v>
      </c>
      <c r="AM413" s="2"/>
    </row>
    <row r="414" spans="1:39" x14ac:dyDescent="0.45">
      <c r="A414">
        <v>162</v>
      </c>
      <c r="B414">
        <v>23710.810546875</v>
      </c>
      <c r="C414">
        <v>14763.90234375</v>
      </c>
      <c r="D414">
        <v>15279.2353515625</v>
      </c>
      <c r="E414">
        <v>18727.81640625</v>
      </c>
      <c r="F414">
        <v>33369.94921875</v>
      </c>
      <c r="G414">
        <v>15963.1455078125</v>
      </c>
      <c r="H414">
        <v>54466.6875</v>
      </c>
      <c r="I414">
        <v>47302.89453125</v>
      </c>
      <c r="J414">
        <v>55347.52734375</v>
      </c>
      <c r="K414">
        <v>61254.0703125</v>
      </c>
      <c r="L414">
        <v>14966.6748046875</v>
      </c>
      <c r="M414">
        <v>37412.2421875</v>
      </c>
      <c r="N414">
        <v>33876.28515625</v>
      </c>
      <c r="O414">
        <v>22790.580078125</v>
      </c>
      <c r="U414" s="2">
        <v>0.375</v>
      </c>
      <c r="V414">
        <v>23710.810546875</v>
      </c>
      <c r="W414">
        <v>14763.90234375</v>
      </c>
      <c r="X414">
        <v>15279.2353515625</v>
      </c>
      <c r="Y414">
        <v>18727.81640625</v>
      </c>
      <c r="Z414">
        <v>33369.94921875</v>
      </c>
      <c r="AA414">
        <v>15963.1455078125</v>
      </c>
      <c r="AB414">
        <v>54466.6875</v>
      </c>
      <c r="AC414">
        <v>47302.89453125</v>
      </c>
      <c r="AD414">
        <v>55347.52734375</v>
      </c>
      <c r="AE414">
        <v>61254.0703125</v>
      </c>
      <c r="AF414">
        <v>14966.6748046875</v>
      </c>
      <c r="AG414">
        <v>37412.2421875</v>
      </c>
      <c r="AH414">
        <v>33876.28515625</v>
      </c>
      <c r="AI414">
        <v>22790.580078125</v>
      </c>
      <c r="AK414">
        <f t="shared" si="20"/>
        <v>449231.8212890625</v>
      </c>
      <c r="AM414" s="2"/>
    </row>
    <row r="415" spans="1:39" x14ac:dyDescent="0.45">
      <c r="A415">
        <v>163</v>
      </c>
      <c r="B415">
        <v>28752.904296875</v>
      </c>
      <c r="C415">
        <v>14337.0849609375</v>
      </c>
      <c r="D415">
        <v>10446.779296875</v>
      </c>
      <c r="E415">
        <v>22102.779296875</v>
      </c>
      <c r="F415">
        <v>35600.37109375</v>
      </c>
      <c r="G415">
        <v>14732.9033203125</v>
      </c>
      <c r="H415">
        <v>54688.7421875</v>
      </c>
      <c r="I415">
        <v>43963.6953125</v>
      </c>
      <c r="J415">
        <v>58298.2421875</v>
      </c>
      <c r="K415">
        <v>66529.109375</v>
      </c>
      <c r="L415">
        <v>13642.2607421875</v>
      </c>
      <c r="M415">
        <v>33213.75390625</v>
      </c>
      <c r="N415">
        <v>33392.16015625</v>
      </c>
      <c r="O415">
        <v>20454.619140625</v>
      </c>
      <c r="U415" s="2">
        <v>0.39583333333333331</v>
      </c>
      <c r="V415">
        <v>28752.904296875</v>
      </c>
      <c r="W415">
        <v>14337.0849609375</v>
      </c>
      <c r="X415">
        <v>10446.779296875</v>
      </c>
      <c r="Y415">
        <v>22102.779296875</v>
      </c>
      <c r="Z415">
        <v>35600.37109375</v>
      </c>
      <c r="AA415">
        <v>14732.9033203125</v>
      </c>
      <c r="AB415">
        <v>54688.7421875</v>
      </c>
      <c r="AC415">
        <v>43963.6953125</v>
      </c>
      <c r="AD415">
        <v>58298.2421875</v>
      </c>
      <c r="AE415">
        <v>66529.109375</v>
      </c>
      <c r="AF415">
        <v>13642.2607421875</v>
      </c>
      <c r="AG415">
        <v>33213.75390625</v>
      </c>
      <c r="AH415">
        <v>33392.16015625</v>
      </c>
      <c r="AI415">
        <v>20454.619140625</v>
      </c>
      <c r="AK415">
        <f t="shared" si="20"/>
        <v>450155.4052734375</v>
      </c>
      <c r="AM415" s="2"/>
    </row>
    <row r="416" spans="1:39" x14ac:dyDescent="0.45">
      <c r="A416">
        <v>164</v>
      </c>
      <c r="B416">
        <v>25496.8125</v>
      </c>
      <c r="C416">
        <v>8699.6279296875</v>
      </c>
      <c r="D416">
        <v>6802.98876953125</v>
      </c>
      <c r="E416">
        <v>22673.0546875</v>
      </c>
      <c r="F416">
        <v>24580.75390625</v>
      </c>
      <c r="G416">
        <v>9729.91796875</v>
      </c>
      <c r="H416">
        <v>45672.37890625</v>
      </c>
      <c r="I416">
        <v>29898.673828125</v>
      </c>
      <c r="J416">
        <v>48559.796875</v>
      </c>
      <c r="K416">
        <v>53666.578125</v>
      </c>
      <c r="L416">
        <v>10365.2470703125</v>
      </c>
      <c r="M416">
        <v>22621.291015625</v>
      </c>
      <c r="N416">
        <v>32503.900390625</v>
      </c>
      <c r="O416">
        <v>13814.9755859375</v>
      </c>
      <c r="U416" s="2">
        <v>0.41666666666666669</v>
      </c>
      <c r="V416">
        <v>25496.8125</v>
      </c>
      <c r="W416">
        <v>8699.6279296875</v>
      </c>
      <c r="X416">
        <v>6802.98876953125</v>
      </c>
      <c r="Y416">
        <v>22673.0546875</v>
      </c>
      <c r="Z416">
        <v>24580.75390625</v>
      </c>
      <c r="AA416">
        <v>9729.91796875</v>
      </c>
      <c r="AB416">
        <v>45672.37890625</v>
      </c>
      <c r="AC416">
        <v>29898.673828125</v>
      </c>
      <c r="AD416">
        <v>48559.796875</v>
      </c>
      <c r="AE416">
        <v>53666.578125</v>
      </c>
      <c r="AF416">
        <v>10365.2470703125</v>
      </c>
      <c r="AG416">
        <v>22621.291015625</v>
      </c>
      <c r="AH416">
        <v>32503.900390625</v>
      </c>
      <c r="AI416">
        <v>13814.9755859375</v>
      </c>
      <c r="AK416">
        <f t="shared" si="20"/>
        <v>355085.99755859375</v>
      </c>
      <c r="AM416" s="2"/>
    </row>
    <row r="417" spans="1:39" x14ac:dyDescent="0.45">
      <c r="A417">
        <v>165</v>
      </c>
      <c r="B417">
        <v>18196.150390625</v>
      </c>
      <c r="C417">
        <v>3699.05053710937</v>
      </c>
      <c r="D417">
        <v>3824.60693359375</v>
      </c>
      <c r="E417">
        <v>16877.26953125</v>
      </c>
      <c r="F417">
        <v>13586.94921875</v>
      </c>
      <c r="G417">
        <v>5135.013671875</v>
      </c>
      <c r="H417">
        <v>31545.3671875</v>
      </c>
      <c r="I417">
        <v>11197.99609375</v>
      </c>
      <c r="J417">
        <v>33356.1015625</v>
      </c>
      <c r="K417">
        <v>31572.228515625</v>
      </c>
      <c r="L417">
        <v>4495.40869140625</v>
      </c>
      <c r="M417">
        <v>14330.619140625</v>
      </c>
      <c r="N417">
        <v>31227.5859375</v>
      </c>
      <c r="O417">
        <v>7614.45458984375</v>
      </c>
      <c r="U417" s="2">
        <v>0.4375</v>
      </c>
      <c r="V417">
        <v>18196.150390625</v>
      </c>
      <c r="W417">
        <v>3699.05053710937</v>
      </c>
      <c r="X417">
        <v>3824.60693359375</v>
      </c>
      <c r="Y417">
        <v>16877.26953125</v>
      </c>
      <c r="Z417">
        <v>13586.94921875</v>
      </c>
      <c r="AA417">
        <v>5135.013671875</v>
      </c>
      <c r="AB417">
        <v>31545.3671875</v>
      </c>
      <c r="AC417">
        <v>11197.99609375</v>
      </c>
      <c r="AD417">
        <v>33356.1015625</v>
      </c>
      <c r="AE417">
        <v>31572.228515625</v>
      </c>
      <c r="AF417">
        <v>4495.40869140625</v>
      </c>
      <c r="AG417">
        <v>14330.619140625</v>
      </c>
      <c r="AH417">
        <v>31227.5859375</v>
      </c>
      <c r="AI417">
        <v>7614.45458984375</v>
      </c>
      <c r="AK417">
        <f t="shared" si="20"/>
        <v>226658.80200195313</v>
      </c>
      <c r="AM417" s="2"/>
    </row>
    <row r="418" spans="1:39" x14ac:dyDescent="0.45">
      <c r="A418">
        <v>166</v>
      </c>
      <c r="B418">
        <v>10637.857421875</v>
      </c>
      <c r="C418">
        <v>8906.630859375</v>
      </c>
      <c r="D418">
        <v>8734.890625</v>
      </c>
      <c r="E418">
        <v>16147.03515625</v>
      </c>
      <c r="F418">
        <v>17746.369140625</v>
      </c>
      <c r="G418">
        <v>5893.16357421875</v>
      </c>
      <c r="H418">
        <v>31561.36328125</v>
      </c>
      <c r="I418">
        <v>19865.091796875</v>
      </c>
      <c r="J418">
        <v>34914.484375</v>
      </c>
      <c r="K418">
        <v>30864.09375</v>
      </c>
      <c r="L418">
        <v>5899.84765625</v>
      </c>
      <c r="M418">
        <v>22585.287109375</v>
      </c>
      <c r="N418">
        <v>35528.63671875</v>
      </c>
      <c r="O418">
        <v>12510.037109375</v>
      </c>
      <c r="U418" s="2">
        <v>0.45833333333333331</v>
      </c>
      <c r="V418">
        <v>10637.857421875</v>
      </c>
      <c r="W418">
        <v>8906.630859375</v>
      </c>
      <c r="X418">
        <v>8734.890625</v>
      </c>
      <c r="Y418">
        <v>16147.03515625</v>
      </c>
      <c r="Z418">
        <v>17746.369140625</v>
      </c>
      <c r="AA418">
        <v>5893.16357421875</v>
      </c>
      <c r="AB418">
        <v>31561.36328125</v>
      </c>
      <c r="AC418">
        <v>19865.091796875</v>
      </c>
      <c r="AD418">
        <v>34914.484375</v>
      </c>
      <c r="AE418">
        <v>30864.09375</v>
      </c>
      <c r="AF418">
        <v>5899.84765625</v>
      </c>
      <c r="AG418">
        <v>22585.287109375</v>
      </c>
      <c r="AH418">
        <v>35528.63671875</v>
      </c>
      <c r="AI418">
        <v>12510.037109375</v>
      </c>
      <c r="AK418">
        <f t="shared" si="20"/>
        <v>261794.78857421875</v>
      </c>
      <c r="AM418" s="2"/>
    </row>
    <row r="419" spans="1:39" x14ac:dyDescent="0.45">
      <c r="A419">
        <v>167</v>
      </c>
      <c r="B419">
        <v>4653.6552734375</v>
      </c>
      <c r="C419">
        <v>4989.70947265625</v>
      </c>
      <c r="D419">
        <v>4363.43212890625</v>
      </c>
      <c r="E419">
        <v>15710.8935546875</v>
      </c>
      <c r="F419">
        <v>7090.48486328125</v>
      </c>
      <c r="G419">
        <v>7039.390625</v>
      </c>
      <c r="H419">
        <v>17780.146484375</v>
      </c>
      <c r="I419">
        <v>20685.38671875</v>
      </c>
      <c r="J419">
        <v>23367.6796875</v>
      </c>
      <c r="K419">
        <v>25767.08984375</v>
      </c>
      <c r="L419">
        <v>4845.97265625</v>
      </c>
      <c r="M419">
        <v>16067.1845703125</v>
      </c>
      <c r="N419">
        <v>32075.796875</v>
      </c>
      <c r="O419">
        <v>8214.650390625</v>
      </c>
      <c r="U419" s="2">
        <v>0.47916666666666669</v>
      </c>
      <c r="V419">
        <v>4653.6552734375</v>
      </c>
      <c r="W419">
        <v>4989.70947265625</v>
      </c>
      <c r="X419">
        <v>4363.43212890625</v>
      </c>
      <c r="Y419">
        <v>15710.8935546875</v>
      </c>
      <c r="Z419">
        <v>7090.48486328125</v>
      </c>
      <c r="AA419">
        <v>7039.390625</v>
      </c>
      <c r="AB419">
        <v>17780.146484375</v>
      </c>
      <c r="AC419">
        <v>20685.38671875</v>
      </c>
      <c r="AD419">
        <v>23367.6796875</v>
      </c>
      <c r="AE419">
        <v>25767.08984375</v>
      </c>
      <c r="AF419">
        <v>4845.97265625</v>
      </c>
      <c r="AG419">
        <v>16067.1845703125</v>
      </c>
      <c r="AH419">
        <v>32075.796875</v>
      </c>
      <c r="AI419">
        <v>8214.650390625</v>
      </c>
      <c r="AK419">
        <f t="shared" si="20"/>
        <v>192651.47314453125</v>
      </c>
      <c r="AM419" s="2"/>
    </row>
    <row r="420" spans="1:39" x14ac:dyDescent="0.45">
      <c r="A420">
        <v>168</v>
      </c>
      <c r="B420">
        <v>3733.568359375</v>
      </c>
      <c r="C420">
        <v>8607.6416015625</v>
      </c>
      <c r="D420">
        <v>3725.9453125</v>
      </c>
      <c r="E420">
        <v>6554.05224609375</v>
      </c>
      <c r="F420">
        <v>11080.052734375</v>
      </c>
      <c r="G420">
        <v>8057.5927734375</v>
      </c>
      <c r="H420">
        <v>17200.005859375</v>
      </c>
      <c r="I420">
        <v>12346.4072265625</v>
      </c>
      <c r="J420">
        <v>20444.96875</v>
      </c>
      <c r="K420">
        <v>13660.7001953125</v>
      </c>
      <c r="L420">
        <v>9614.8828125</v>
      </c>
      <c r="M420">
        <v>15054.8583984375</v>
      </c>
      <c r="N420">
        <v>30825.494140625</v>
      </c>
      <c r="O420">
        <v>4579.47802734375</v>
      </c>
      <c r="U420" s="2">
        <v>0.5</v>
      </c>
      <c r="V420">
        <v>3733.568359375</v>
      </c>
      <c r="W420">
        <v>8607.6416015625</v>
      </c>
      <c r="X420">
        <v>3725.9453125</v>
      </c>
      <c r="Y420">
        <v>6554.05224609375</v>
      </c>
      <c r="Z420">
        <v>11080.052734375</v>
      </c>
      <c r="AA420">
        <v>8057.5927734375</v>
      </c>
      <c r="AB420">
        <v>17200.005859375</v>
      </c>
      <c r="AC420">
        <v>12346.4072265625</v>
      </c>
      <c r="AD420">
        <v>20444.96875</v>
      </c>
      <c r="AE420">
        <v>13660.7001953125</v>
      </c>
      <c r="AF420">
        <v>9614.8828125</v>
      </c>
      <c r="AG420">
        <v>15054.8583984375</v>
      </c>
      <c r="AH420">
        <v>30825.494140625</v>
      </c>
      <c r="AI420">
        <v>4579.47802734375</v>
      </c>
      <c r="AK420">
        <f t="shared" si="20"/>
        <v>165485.6484375</v>
      </c>
      <c r="AM420" s="2"/>
    </row>
    <row r="421" spans="1:39" x14ac:dyDescent="0.45">
      <c r="A421">
        <v>169</v>
      </c>
      <c r="B421">
        <v>-3531.13012695312</v>
      </c>
      <c r="C421">
        <v>4573.4609375</v>
      </c>
      <c r="D421">
        <v>4387.78955078125</v>
      </c>
      <c r="E421">
        <v>-2310.72875976562</v>
      </c>
      <c r="F421">
        <v>3399.22290039062</v>
      </c>
      <c r="G421">
        <v>6431.26953125</v>
      </c>
      <c r="H421">
        <v>4194.95068359375</v>
      </c>
      <c r="I421">
        <v>2314.826171875</v>
      </c>
      <c r="J421">
        <v>3374.81909179687</v>
      </c>
      <c r="K421">
        <v>-6621.30712890625</v>
      </c>
      <c r="L421">
        <v>7146.236328125</v>
      </c>
      <c r="M421">
        <v>9973.2197265625</v>
      </c>
      <c r="N421">
        <v>31127.55859375</v>
      </c>
      <c r="O421">
        <v>-1086.35070800781</v>
      </c>
      <c r="U421" s="2">
        <v>0.52083333333333337</v>
      </c>
      <c r="V421">
        <v>-3531.13012695312</v>
      </c>
      <c r="W421">
        <v>4573.4609375</v>
      </c>
      <c r="X421">
        <v>4387.78955078125</v>
      </c>
      <c r="Y421">
        <v>-2310.72875976562</v>
      </c>
      <c r="Z421">
        <v>3399.22290039062</v>
      </c>
      <c r="AA421">
        <v>6431.26953125</v>
      </c>
      <c r="AB421">
        <v>4194.95068359375</v>
      </c>
      <c r="AC421">
        <v>2314.826171875</v>
      </c>
      <c r="AD421">
        <v>3374.81909179687</v>
      </c>
      <c r="AE421">
        <v>-6621.30712890625</v>
      </c>
      <c r="AF421">
        <v>7146.236328125</v>
      </c>
      <c r="AG421">
        <v>9973.2197265625</v>
      </c>
      <c r="AH421">
        <v>31127.55859375</v>
      </c>
      <c r="AI421">
        <v>-1086.35070800781</v>
      </c>
      <c r="AK421">
        <f t="shared" si="20"/>
        <v>63373.836791992188</v>
      </c>
      <c r="AM421" s="2"/>
    </row>
    <row r="422" spans="1:39" x14ac:dyDescent="0.45">
      <c r="A422">
        <v>170</v>
      </c>
      <c r="B422">
        <v>-635.74871826171795</v>
      </c>
      <c r="C422">
        <v>6464.05908203125</v>
      </c>
      <c r="D422">
        <v>-772.66735839843705</v>
      </c>
      <c r="E422">
        <v>-1186.3642578125</v>
      </c>
      <c r="F422">
        <v>5730.11474609375</v>
      </c>
      <c r="G422">
        <v>2510.49609375</v>
      </c>
      <c r="H422">
        <v>8043.8203125</v>
      </c>
      <c r="I422">
        <v>5509.96630859375</v>
      </c>
      <c r="J422">
        <v>10196.4775390625</v>
      </c>
      <c r="K422">
        <v>5123.01220703125</v>
      </c>
      <c r="L422">
        <v>9498.9716796875</v>
      </c>
      <c r="M422">
        <v>3991.28881835937</v>
      </c>
      <c r="N422">
        <v>34362.35546875</v>
      </c>
      <c r="O422">
        <v>6656.1494140625</v>
      </c>
      <c r="U422" s="2">
        <v>0.54166666666666663</v>
      </c>
      <c r="V422">
        <v>-635.74871826171795</v>
      </c>
      <c r="W422">
        <v>6464.05908203125</v>
      </c>
      <c r="X422">
        <v>-772.66735839843705</v>
      </c>
      <c r="Y422">
        <v>-1186.3642578125</v>
      </c>
      <c r="Z422">
        <v>5730.11474609375</v>
      </c>
      <c r="AA422">
        <v>2510.49609375</v>
      </c>
      <c r="AB422">
        <v>8043.8203125</v>
      </c>
      <c r="AC422">
        <v>5509.96630859375</v>
      </c>
      <c r="AD422">
        <v>10196.4775390625</v>
      </c>
      <c r="AE422">
        <v>5123.01220703125</v>
      </c>
      <c r="AF422">
        <v>9498.9716796875</v>
      </c>
      <c r="AG422">
        <v>3991.28881835937</v>
      </c>
      <c r="AH422">
        <v>34362.35546875</v>
      </c>
      <c r="AI422">
        <v>6656.1494140625</v>
      </c>
      <c r="AK422">
        <f t="shared" si="20"/>
        <v>95491.931335449219</v>
      </c>
      <c r="AM422" s="2"/>
    </row>
    <row r="423" spans="1:39" x14ac:dyDescent="0.45">
      <c r="A423">
        <v>171</v>
      </c>
      <c r="B423">
        <v>1196.255859375</v>
      </c>
      <c r="C423">
        <v>8368.7333984375</v>
      </c>
      <c r="D423">
        <v>2038.54711914062</v>
      </c>
      <c r="E423">
        <v>946.29455566406205</v>
      </c>
      <c r="F423">
        <v>8891.083984375</v>
      </c>
      <c r="G423">
        <v>5056.99853515625</v>
      </c>
      <c r="H423">
        <v>13833.216796875</v>
      </c>
      <c r="I423">
        <v>11863.5146484375</v>
      </c>
      <c r="J423">
        <v>15099.671875</v>
      </c>
      <c r="K423">
        <v>11516.2763671875</v>
      </c>
      <c r="L423">
        <v>9472.962890625</v>
      </c>
      <c r="M423">
        <v>11211.62109375</v>
      </c>
      <c r="N423">
        <v>32811.98046875</v>
      </c>
      <c r="O423">
        <v>8696.80859375</v>
      </c>
      <c r="U423" s="2">
        <v>0.5625</v>
      </c>
      <c r="V423">
        <v>1196.255859375</v>
      </c>
      <c r="W423">
        <v>8368.7333984375</v>
      </c>
      <c r="X423">
        <v>2038.54711914062</v>
      </c>
      <c r="Y423">
        <v>946.29455566406205</v>
      </c>
      <c r="Z423">
        <v>8891.083984375</v>
      </c>
      <c r="AA423">
        <v>5056.99853515625</v>
      </c>
      <c r="AB423">
        <v>13833.216796875</v>
      </c>
      <c r="AC423">
        <v>11863.5146484375</v>
      </c>
      <c r="AD423">
        <v>15099.671875</v>
      </c>
      <c r="AE423">
        <v>11516.2763671875</v>
      </c>
      <c r="AF423">
        <v>9472.962890625</v>
      </c>
      <c r="AG423">
        <v>11211.62109375</v>
      </c>
      <c r="AH423">
        <v>32811.98046875</v>
      </c>
      <c r="AI423">
        <v>8696.80859375</v>
      </c>
      <c r="AK423">
        <f t="shared" si="20"/>
        <v>141003.96618652344</v>
      </c>
      <c r="AM423" s="2"/>
    </row>
    <row r="424" spans="1:39" x14ac:dyDescent="0.45">
      <c r="A424">
        <v>172</v>
      </c>
      <c r="B424">
        <v>6643.595703125</v>
      </c>
      <c r="C424">
        <v>8381.916015625</v>
      </c>
      <c r="D424">
        <v>1390.73425292968</v>
      </c>
      <c r="E424">
        <v>2130.671875</v>
      </c>
      <c r="F424">
        <v>12718.5439453125</v>
      </c>
      <c r="G424">
        <v>3158.62133789062</v>
      </c>
      <c r="H424">
        <v>19110.435546875</v>
      </c>
      <c r="I424">
        <v>8865.1650390625</v>
      </c>
      <c r="J424">
        <v>20376.951171875</v>
      </c>
      <c r="K424">
        <v>14606.873046875</v>
      </c>
      <c r="L424">
        <v>9917.1005859375</v>
      </c>
      <c r="M424">
        <v>9741.9404296875</v>
      </c>
      <c r="N424">
        <v>31519.67578125</v>
      </c>
      <c r="O424">
        <v>9055.9443359375</v>
      </c>
      <c r="U424" s="2">
        <v>0.58333333333333337</v>
      </c>
      <c r="V424">
        <v>6643.595703125</v>
      </c>
      <c r="W424">
        <v>8381.916015625</v>
      </c>
      <c r="X424">
        <v>1390.73425292968</v>
      </c>
      <c r="Y424">
        <v>2130.671875</v>
      </c>
      <c r="Z424">
        <v>12718.5439453125</v>
      </c>
      <c r="AA424">
        <v>3158.62133789062</v>
      </c>
      <c r="AB424">
        <v>19110.435546875</v>
      </c>
      <c r="AC424">
        <v>8865.1650390625</v>
      </c>
      <c r="AD424">
        <v>20376.951171875</v>
      </c>
      <c r="AE424">
        <v>14606.873046875</v>
      </c>
      <c r="AF424">
        <v>9917.1005859375</v>
      </c>
      <c r="AG424">
        <v>9741.9404296875</v>
      </c>
      <c r="AH424">
        <v>31519.67578125</v>
      </c>
      <c r="AI424">
        <v>9055.9443359375</v>
      </c>
      <c r="AK424">
        <f t="shared" si="20"/>
        <v>157618.16906738281</v>
      </c>
      <c r="AM424" s="2"/>
    </row>
    <row r="425" spans="1:39" x14ac:dyDescent="0.45">
      <c r="A425">
        <v>173</v>
      </c>
      <c r="B425">
        <v>2403.59252929687</v>
      </c>
      <c r="C425">
        <v>5749.787109375</v>
      </c>
      <c r="D425">
        <v>4243.06640625</v>
      </c>
      <c r="E425">
        <v>-782.24456787109295</v>
      </c>
      <c r="F425">
        <v>6421.6865234375</v>
      </c>
      <c r="G425">
        <v>4722.93212890625</v>
      </c>
      <c r="H425">
        <v>11858.7646484375</v>
      </c>
      <c r="I425">
        <v>-1231.77893066406</v>
      </c>
      <c r="J425">
        <v>11337.7626953125</v>
      </c>
      <c r="K425">
        <v>-3320.64306640625</v>
      </c>
      <c r="L425">
        <v>6094.36328125</v>
      </c>
      <c r="M425">
        <v>9920.25390625</v>
      </c>
      <c r="N425">
        <v>24948.640625</v>
      </c>
      <c r="O425">
        <v>-331.473876953125</v>
      </c>
      <c r="U425" s="2">
        <v>0.60416666666666663</v>
      </c>
      <c r="V425">
        <v>2403.59252929687</v>
      </c>
      <c r="W425">
        <v>5749.787109375</v>
      </c>
      <c r="X425">
        <v>4243.06640625</v>
      </c>
      <c r="Y425">
        <v>-782.24456787109295</v>
      </c>
      <c r="Z425">
        <v>6421.6865234375</v>
      </c>
      <c r="AA425">
        <v>4722.93212890625</v>
      </c>
      <c r="AB425">
        <v>11858.7646484375</v>
      </c>
      <c r="AC425">
        <v>-1231.77893066406</v>
      </c>
      <c r="AD425">
        <v>11337.7626953125</v>
      </c>
      <c r="AE425">
        <v>-3320.64306640625</v>
      </c>
      <c r="AF425">
        <v>6094.36328125</v>
      </c>
      <c r="AG425">
        <v>9920.25390625</v>
      </c>
      <c r="AH425">
        <v>24948.640625</v>
      </c>
      <c r="AI425">
        <v>-331.473876953125</v>
      </c>
      <c r="AK425">
        <f t="shared" si="20"/>
        <v>82034.709411621094</v>
      </c>
      <c r="AM425" s="2"/>
    </row>
    <row r="426" spans="1:39" x14ac:dyDescent="0.45">
      <c r="A426">
        <v>174</v>
      </c>
      <c r="B426">
        <v>218.11122131347599</v>
      </c>
      <c r="C426">
        <v>4656.52783203125</v>
      </c>
      <c r="D426">
        <v>4574.0263671875</v>
      </c>
      <c r="E426">
        <v>-2696.84106445312</v>
      </c>
      <c r="F426">
        <v>4701.00048828125</v>
      </c>
      <c r="G426">
        <v>6533.291015625</v>
      </c>
      <c r="H426">
        <v>8125.89453125</v>
      </c>
      <c r="I426">
        <v>-1256.44848632812</v>
      </c>
      <c r="J426">
        <v>7137.73046875</v>
      </c>
      <c r="K426">
        <v>-3470.68603515625</v>
      </c>
      <c r="L426">
        <v>5109.6015625</v>
      </c>
      <c r="M426">
        <v>7870.5380859375</v>
      </c>
      <c r="N426">
        <v>27082.568359375</v>
      </c>
      <c r="O426">
        <v>-1486.47937011718</v>
      </c>
      <c r="U426" s="2">
        <v>0.625</v>
      </c>
      <c r="V426">
        <v>218.11122131347599</v>
      </c>
      <c r="W426">
        <v>4656.52783203125</v>
      </c>
      <c r="X426">
        <v>4574.0263671875</v>
      </c>
      <c r="Y426">
        <v>-2696.84106445312</v>
      </c>
      <c r="Z426">
        <v>4701.00048828125</v>
      </c>
      <c r="AA426">
        <v>6533.291015625</v>
      </c>
      <c r="AB426">
        <v>8125.89453125</v>
      </c>
      <c r="AC426">
        <v>-1256.44848632812</v>
      </c>
      <c r="AD426">
        <v>7137.73046875</v>
      </c>
      <c r="AE426">
        <v>-3470.68603515625</v>
      </c>
      <c r="AF426">
        <v>5109.6015625</v>
      </c>
      <c r="AG426">
        <v>7870.5380859375</v>
      </c>
      <c r="AH426">
        <v>27082.568359375</v>
      </c>
      <c r="AI426">
        <v>-1486.47937011718</v>
      </c>
      <c r="AK426">
        <f t="shared" si="20"/>
        <v>67098.834976196318</v>
      </c>
      <c r="AM426" s="2"/>
    </row>
    <row r="427" spans="1:39" x14ac:dyDescent="0.45">
      <c r="A427">
        <v>175</v>
      </c>
      <c r="B427">
        <v>-2143.11694335937</v>
      </c>
      <c r="C427">
        <v>3767.97802734375</v>
      </c>
      <c r="D427">
        <v>3035.76733398437</v>
      </c>
      <c r="E427">
        <v>-2426.76904296875</v>
      </c>
      <c r="F427">
        <v>4319.541015625</v>
      </c>
      <c r="G427">
        <v>7119.56494140625</v>
      </c>
      <c r="H427">
        <v>3732.87060546875</v>
      </c>
      <c r="I427">
        <v>104.037132263183</v>
      </c>
      <c r="J427">
        <v>6257.51904296875</v>
      </c>
      <c r="K427">
        <v>-1865.36193847656</v>
      </c>
      <c r="L427">
        <v>5211.63232421875</v>
      </c>
      <c r="M427">
        <v>5949.91796875</v>
      </c>
      <c r="N427">
        <v>27406.63671875</v>
      </c>
      <c r="O427">
        <v>-718.23150634765602</v>
      </c>
      <c r="U427" s="2">
        <v>0.64583333333333337</v>
      </c>
      <c r="V427">
        <v>-2143.11694335937</v>
      </c>
      <c r="W427">
        <v>3767.97802734375</v>
      </c>
      <c r="X427">
        <v>3035.76733398437</v>
      </c>
      <c r="Y427">
        <v>-2426.76904296875</v>
      </c>
      <c r="Z427">
        <v>4319.541015625</v>
      </c>
      <c r="AA427">
        <v>7119.56494140625</v>
      </c>
      <c r="AB427">
        <v>3732.87060546875</v>
      </c>
      <c r="AC427">
        <v>104.037132263183</v>
      </c>
      <c r="AD427">
        <v>6257.51904296875</v>
      </c>
      <c r="AE427">
        <v>-1865.36193847656</v>
      </c>
      <c r="AF427">
        <v>5211.63232421875</v>
      </c>
      <c r="AG427">
        <v>5949.91796875</v>
      </c>
      <c r="AH427">
        <v>27406.63671875</v>
      </c>
      <c r="AI427">
        <v>-718.23150634765602</v>
      </c>
      <c r="AK427">
        <f t="shared" si="20"/>
        <v>59751.985679626465</v>
      </c>
      <c r="AM427" s="2"/>
    </row>
    <row r="428" spans="1:39" x14ac:dyDescent="0.45">
      <c r="A428">
        <v>176</v>
      </c>
      <c r="B428">
        <v>1510.12194824218</v>
      </c>
      <c r="C428">
        <v>8045.1962890625</v>
      </c>
      <c r="D428">
        <v>3895.626953125</v>
      </c>
      <c r="E428">
        <v>440.13748168945301</v>
      </c>
      <c r="F428">
        <v>11878.2724609375</v>
      </c>
      <c r="G428">
        <v>5267.0390625</v>
      </c>
      <c r="H428">
        <v>13917.240234375</v>
      </c>
      <c r="I428">
        <v>3639.29931640625</v>
      </c>
      <c r="J428">
        <v>16041.7236328125</v>
      </c>
      <c r="K428">
        <v>3486.69018554687</v>
      </c>
      <c r="L428">
        <v>7414.322265625</v>
      </c>
      <c r="M428">
        <v>11237.6279296875</v>
      </c>
      <c r="N428">
        <v>23589.734375</v>
      </c>
      <c r="O428">
        <v>446.14401245117102</v>
      </c>
      <c r="U428" s="2">
        <v>0.66666666666666663</v>
      </c>
      <c r="V428">
        <v>1510.12194824218</v>
      </c>
      <c r="W428">
        <v>8045.1962890625</v>
      </c>
      <c r="X428">
        <v>3895.626953125</v>
      </c>
      <c r="Y428">
        <v>440.13748168945301</v>
      </c>
      <c r="Z428">
        <v>11878.2724609375</v>
      </c>
      <c r="AA428">
        <v>5267.0390625</v>
      </c>
      <c r="AB428">
        <v>13917.240234375</v>
      </c>
      <c r="AC428">
        <v>3639.29931640625</v>
      </c>
      <c r="AD428">
        <v>16041.7236328125</v>
      </c>
      <c r="AE428">
        <v>3486.69018554687</v>
      </c>
      <c r="AF428">
        <v>7414.322265625</v>
      </c>
      <c r="AG428">
        <v>11237.6279296875</v>
      </c>
      <c r="AH428">
        <v>23589.734375</v>
      </c>
      <c r="AI428">
        <v>446.14401245117102</v>
      </c>
      <c r="AK428">
        <f t="shared" si="20"/>
        <v>110809.17614746092</v>
      </c>
      <c r="AM428" s="2"/>
    </row>
    <row r="429" spans="1:39" x14ac:dyDescent="0.45">
      <c r="A429">
        <v>177</v>
      </c>
      <c r="B429">
        <v>6241.94140625</v>
      </c>
      <c r="C429">
        <v>5109.53125</v>
      </c>
      <c r="D429">
        <v>6295.85888671875</v>
      </c>
      <c r="E429">
        <v>4900.4833984375</v>
      </c>
      <c r="F429">
        <v>12384.482421875</v>
      </c>
      <c r="G429">
        <v>6945.373046875</v>
      </c>
      <c r="H429">
        <v>16513.845703125</v>
      </c>
      <c r="I429">
        <v>10431.7216796875</v>
      </c>
      <c r="J429">
        <v>20663.021484375</v>
      </c>
      <c r="K429">
        <v>12288.4267578125</v>
      </c>
      <c r="L429">
        <v>3717.9794921875</v>
      </c>
      <c r="M429">
        <v>15338.951171875</v>
      </c>
      <c r="N429">
        <v>24223.888671875</v>
      </c>
      <c r="O429">
        <v>1112.35913085937</v>
      </c>
      <c r="U429" s="2">
        <v>0.6875</v>
      </c>
      <c r="V429">
        <v>6241.94140625</v>
      </c>
      <c r="W429">
        <v>5109.53125</v>
      </c>
      <c r="X429">
        <v>6295.85888671875</v>
      </c>
      <c r="Y429">
        <v>4900.4833984375</v>
      </c>
      <c r="Z429">
        <v>12384.482421875</v>
      </c>
      <c r="AA429">
        <v>6945.373046875</v>
      </c>
      <c r="AB429">
        <v>16513.845703125</v>
      </c>
      <c r="AC429">
        <v>10431.7216796875</v>
      </c>
      <c r="AD429">
        <v>20663.021484375</v>
      </c>
      <c r="AE429">
        <v>12288.4267578125</v>
      </c>
      <c r="AF429">
        <v>3717.9794921875</v>
      </c>
      <c r="AG429">
        <v>15338.951171875</v>
      </c>
      <c r="AH429">
        <v>24223.888671875</v>
      </c>
      <c r="AI429">
        <v>1112.35913085937</v>
      </c>
      <c r="AK429">
        <f t="shared" si="20"/>
        <v>146167.86450195313</v>
      </c>
      <c r="AM429" s="2"/>
    </row>
    <row r="430" spans="1:39" x14ac:dyDescent="0.45">
      <c r="A430">
        <v>178</v>
      </c>
      <c r="B430">
        <v>8815.435546875</v>
      </c>
      <c r="C430">
        <v>9645.2529296875</v>
      </c>
      <c r="D430">
        <v>8832.57421875</v>
      </c>
      <c r="E430">
        <v>5168.064453125</v>
      </c>
      <c r="F430">
        <v>17906.34765625</v>
      </c>
      <c r="G430">
        <v>9429.86328125</v>
      </c>
      <c r="H430">
        <v>26120.078125</v>
      </c>
      <c r="I430">
        <v>19054.80078125</v>
      </c>
      <c r="J430">
        <v>25974.314453125</v>
      </c>
      <c r="K430">
        <v>21848.31640625</v>
      </c>
      <c r="L430">
        <v>9320.9150390625</v>
      </c>
      <c r="M430">
        <v>23829.693359375</v>
      </c>
      <c r="N430">
        <v>27384.66015625</v>
      </c>
      <c r="O430">
        <v>10003.2294921875</v>
      </c>
      <c r="U430" s="2">
        <v>0.70833333333333337</v>
      </c>
      <c r="V430">
        <v>8815.435546875</v>
      </c>
      <c r="W430">
        <v>9645.2529296875</v>
      </c>
      <c r="X430">
        <v>8832.57421875</v>
      </c>
      <c r="Y430">
        <v>5168.064453125</v>
      </c>
      <c r="Z430">
        <v>17906.34765625</v>
      </c>
      <c r="AA430">
        <v>9429.86328125</v>
      </c>
      <c r="AB430">
        <v>26120.078125</v>
      </c>
      <c r="AC430">
        <v>19054.80078125</v>
      </c>
      <c r="AD430">
        <v>25974.314453125</v>
      </c>
      <c r="AE430">
        <v>21848.31640625</v>
      </c>
      <c r="AF430">
        <v>9320.9150390625</v>
      </c>
      <c r="AG430">
        <v>23829.693359375</v>
      </c>
      <c r="AH430">
        <v>27384.66015625</v>
      </c>
      <c r="AI430">
        <v>10003.2294921875</v>
      </c>
      <c r="AK430">
        <f t="shared" si="20"/>
        <v>223333.5458984375</v>
      </c>
      <c r="AM430" s="2"/>
    </row>
    <row r="431" spans="1:39" x14ac:dyDescent="0.45">
      <c r="A431">
        <v>179</v>
      </c>
      <c r="B431">
        <v>16446.017578125</v>
      </c>
      <c r="C431">
        <v>20173.822265625</v>
      </c>
      <c r="D431">
        <v>17569.18359375</v>
      </c>
      <c r="E431">
        <v>23687.43359375</v>
      </c>
      <c r="F431">
        <v>34360.109375</v>
      </c>
      <c r="G431">
        <v>14448.8623046875</v>
      </c>
      <c r="H431">
        <v>54224.625</v>
      </c>
      <c r="I431">
        <v>47038.79296875</v>
      </c>
      <c r="J431">
        <v>54093.140625</v>
      </c>
      <c r="K431">
        <v>53476.59375</v>
      </c>
      <c r="L431">
        <v>16111.04296875</v>
      </c>
      <c r="M431">
        <v>36803.87109375</v>
      </c>
      <c r="N431">
        <v>38671.3984375</v>
      </c>
      <c r="O431">
        <v>16599.892578125</v>
      </c>
      <c r="U431" s="2">
        <v>0.72916666666666663</v>
      </c>
      <c r="V431">
        <v>16446.017578125</v>
      </c>
      <c r="W431">
        <v>20173.822265625</v>
      </c>
      <c r="X431">
        <v>17569.18359375</v>
      </c>
      <c r="Y431">
        <v>23687.43359375</v>
      </c>
      <c r="Z431">
        <v>34360.109375</v>
      </c>
      <c r="AA431">
        <v>14448.8623046875</v>
      </c>
      <c r="AB431">
        <v>54224.625</v>
      </c>
      <c r="AC431">
        <v>47038.79296875</v>
      </c>
      <c r="AD431">
        <v>54093.140625</v>
      </c>
      <c r="AE431">
        <v>53476.59375</v>
      </c>
      <c r="AF431">
        <v>16111.04296875</v>
      </c>
      <c r="AG431">
        <v>36803.87109375</v>
      </c>
      <c r="AH431">
        <v>38671.3984375</v>
      </c>
      <c r="AI431">
        <v>16599.892578125</v>
      </c>
      <c r="AK431">
        <f t="shared" si="20"/>
        <v>443704.7861328125</v>
      </c>
      <c r="AM431" s="2"/>
    </row>
    <row r="432" spans="1:39" x14ac:dyDescent="0.45">
      <c r="A432">
        <v>180</v>
      </c>
      <c r="B432">
        <v>33275.87109375</v>
      </c>
      <c r="C432">
        <v>20695.419921875</v>
      </c>
      <c r="D432">
        <v>27517.072265625</v>
      </c>
      <c r="E432">
        <v>38706.10546875</v>
      </c>
      <c r="F432">
        <v>47554.55859375</v>
      </c>
      <c r="G432">
        <v>24886.955078125</v>
      </c>
      <c r="H432">
        <v>76407.8359375</v>
      </c>
      <c r="I432">
        <v>76005.1328125</v>
      </c>
      <c r="J432">
        <v>78433.28125</v>
      </c>
      <c r="K432">
        <v>92444.4140625</v>
      </c>
      <c r="L432">
        <v>18517.78125</v>
      </c>
      <c r="M432">
        <v>55493.9609375</v>
      </c>
      <c r="N432">
        <v>46379.3515625</v>
      </c>
      <c r="O432">
        <v>27712.96875</v>
      </c>
      <c r="U432" s="2">
        <v>0.75</v>
      </c>
      <c r="V432">
        <v>33275.87109375</v>
      </c>
      <c r="W432">
        <v>20695.419921875</v>
      </c>
      <c r="X432">
        <v>27517.072265625</v>
      </c>
      <c r="Y432">
        <v>38706.10546875</v>
      </c>
      <c r="Z432">
        <v>47554.55859375</v>
      </c>
      <c r="AA432">
        <v>24886.955078125</v>
      </c>
      <c r="AB432">
        <v>76407.8359375</v>
      </c>
      <c r="AC432">
        <v>76005.1328125</v>
      </c>
      <c r="AD432">
        <v>78433.28125</v>
      </c>
      <c r="AE432">
        <v>92444.4140625</v>
      </c>
      <c r="AF432">
        <v>18517.78125</v>
      </c>
      <c r="AG432">
        <v>55493.9609375</v>
      </c>
      <c r="AH432">
        <v>46379.3515625</v>
      </c>
      <c r="AI432">
        <v>27712.96875</v>
      </c>
      <c r="AK432">
        <f t="shared" si="20"/>
        <v>664030.708984375</v>
      </c>
      <c r="AM432" s="2"/>
    </row>
    <row r="433" spans="1:39" x14ac:dyDescent="0.45">
      <c r="A433">
        <v>181</v>
      </c>
      <c r="B433">
        <v>37220.13671875</v>
      </c>
      <c r="C433">
        <v>24245.01953125</v>
      </c>
      <c r="D433">
        <v>32278.1328125</v>
      </c>
      <c r="E433">
        <v>37153.6015625</v>
      </c>
      <c r="F433">
        <v>54669.5</v>
      </c>
      <c r="G433">
        <v>27551.4296875</v>
      </c>
      <c r="H433">
        <v>88568.6640625</v>
      </c>
      <c r="I433">
        <v>86330.8203125</v>
      </c>
      <c r="J433">
        <v>87471.3984375</v>
      </c>
      <c r="K433">
        <v>101197.9375</v>
      </c>
      <c r="L433">
        <v>20890.521484375</v>
      </c>
      <c r="M433">
        <v>68942.28125</v>
      </c>
      <c r="N433">
        <v>45991.2578125</v>
      </c>
      <c r="O433">
        <v>36247.71484375</v>
      </c>
      <c r="U433" s="2">
        <v>0.77083333333333337</v>
      </c>
      <c r="V433">
        <v>37220.13671875</v>
      </c>
      <c r="W433">
        <v>24245.01953125</v>
      </c>
      <c r="X433">
        <v>32278.1328125</v>
      </c>
      <c r="Y433">
        <v>37153.6015625</v>
      </c>
      <c r="Z433">
        <v>54669.5</v>
      </c>
      <c r="AA433">
        <v>27551.4296875</v>
      </c>
      <c r="AB433">
        <v>88568.6640625</v>
      </c>
      <c r="AC433">
        <v>86330.8203125</v>
      </c>
      <c r="AD433">
        <v>87471.3984375</v>
      </c>
      <c r="AE433">
        <v>101197.9375</v>
      </c>
      <c r="AF433">
        <v>20890.521484375</v>
      </c>
      <c r="AG433">
        <v>68942.28125</v>
      </c>
      <c r="AH433">
        <v>45991.2578125</v>
      </c>
      <c r="AI433">
        <v>36247.71484375</v>
      </c>
      <c r="AK433">
        <f t="shared" si="20"/>
        <v>748758.416015625</v>
      </c>
      <c r="AM433" s="2"/>
    </row>
    <row r="434" spans="1:39" x14ac:dyDescent="0.45">
      <c r="A434">
        <v>182</v>
      </c>
      <c r="B434">
        <v>38713.19140625</v>
      </c>
      <c r="C434">
        <v>25836.880859375</v>
      </c>
      <c r="D434">
        <v>35767.01953125</v>
      </c>
      <c r="E434">
        <v>38813.58984375</v>
      </c>
      <c r="F434">
        <v>58228.8046875</v>
      </c>
      <c r="G434">
        <v>31480.208984375</v>
      </c>
      <c r="H434">
        <v>93891.8984375</v>
      </c>
      <c r="I434">
        <v>92931.1640625</v>
      </c>
      <c r="J434">
        <v>92608.6796875</v>
      </c>
      <c r="K434">
        <v>107549.2109375</v>
      </c>
      <c r="L434">
        <v>22242.939453125</v>
      </c>
      <c r="M434">
        <v>73743.84375</v>
      </c>
      <c r="N434">
        <v>46813.47265625</v>
      </c>
      <c r="O434">
        <v>37326.0703125</v>
      </c>
      <c r="U434" s="2">
        <v>0.79166666666666663</v>
      </c>
      <c r="V434">
        <v>38713.19140625</v>
      </c>
      <c r="W434">
        <v>25836.880859375</v>
      </c>
      <c r="X434">
        <v>35767.01953125</v>
      </c>
      <c r="Y434">
        <v>38813.58984375</v>
      </c>
      <c r="Z434">
        <v>58228.8046875</v>
      </c>
      <c r="AA434">
        <v>31480.208984375</v>
      </c>
      <c r="AB434">
        <v>93891.8984375</v>
      </c>
      <c r="AC434">
        <v>92931.1640625</v>
      </c>
      <c r="AD434">
        <v>92608.6796875</v>
      </c>
      <c r="AE434">
        <v>107549.2109375</v>
      </c>
      <c r="AF434">
        <v>22242.939453125</v>
      </c>
      <c r="AG434">
        <v>73743.84375</v>
      </c>
      <c r="AH434">
        <v>46813.47265625</v>
      </c>
      <c r="AI434">
        <v>37326.0703125</v>
      </c>
      <c r="AK434">
        <f t="shared" si="20"/>
        <v>795946.974609375</v>
      </c>
      <c r="AM434" s="2"/>
    </row>
    <row r="435" spans="1:39" x14ac:dyDescent="0.45">
      <c r="A435">
        <v>183</v>
      </c>
      <c r="B435">
        <v>49337.73828125</v>
      </c>
      <c r="C435">
        <v>29425.93359375</v>
      </c>
      <c r="D435">
        <v>34196.7734375</v>
      </c>
      <c r="E435">
        <v>42005.13671875</v>
      </c>
      <c r="F435">
        <v>68071.578125</v>
      </c>
      <c r="G435">
        <v>30109.314453125</v>
      </c>
      <c r="H435">
        <v>107611.671875</v>
      </c>
      <c r="I435">
        <v>95114.9453125</v>
      </c>
      <c r="J435">
        <v>108766.0625</v>
      </c>
      <c r="K435">
        <v>121725.4765625</v>
      </c>
      <c r="L435">
        <v>27037.67578125</v>
      </c>
      <c r="M435">
        <v>71782.7890625</v>
      </c>
      <c r="N435">
        <v>43906.19921875</v>
      </c>
      <c r="O435">
        <v>40238.36328125</v>
      </c>
      <c r="U435" s="2">
        <v>0.8125</v>
      </c>
      <c r="V435">
        <v>49337.73828125</v>
      </c>
      <c r="W435">
        <v>29425.93359375</v>
      </c>
      <c r="X435">
        <v>34196.7734375</v>
      </c>
      <c r="Y435">
        <v>42005.13671875</v>
      </c>
      <c r="Z435">
        <v>68071.578125</v>
      </c>
      <c r="AA435">
        <v>30109.314453125</v>
      </c>
      <c r="AB435">
        <v>107611.671875</v>
      </c>
      <c r="AC435">
        <v>95114.9453125</v>
      </c>
      <c r="AD435">
        <v>108766.0625</v>
      </c>
      <c r="AE435">
        <v>121725.4765625</v>
      </c>
      <c r="AF435">
        <v>27037.67578125</v>
      </c>
      <c r="AG435">
        <v>71782.7890625</v>
      </c>
      <c r="AH435">
        <v>43906.19921875</v>
      </c>
      <c r="AI435">
        <v>40238.36328125</v>
      </c>
      <c r="AK435">
        <f t="shared" si="20"/>
        <v>869329.658203125</v>
      </c>
      <c r="AM435" s="2"/>
    </row>
    <row r="436" spans="1:39" x14ac:dyDescent="0.45">
      <c r="A436">
        <v>184</v>
      </c>
      <c r="B436">
        <v>55847.71484375</v>
      </c>
      <c r="C436">
        <v>28369.65234375</v>
      </c>
      <c r="D436">
        <v>32743.39453125</v>
      </c>
      <c r="E436">
        <v>45240.22265625</v>
      </c>
      <c r="F436">
        <v>72509.796875</v>
      </c>
      <c r="G436">
        <v>29999.9140625</v>
      </c>
      <c r="H436">
        <v>113078.4765625</v>
      </c>
      <c r="I436">
        <v>101500.2265625</v>
      </c>
      <c r="J436">
        <v>116282.4453125</v>
      </c>
      <c r="K436">
        <v>134880.59375</v>
      </c>
      <c r="L436">
        <v>26308.224609375</v>
      </c>
      <c r="M436">
        <v>74259.984375</v>
      </c>
      <c r="N436">
        <v>44420.94921875</v>
      </c>
      <c r="O436">
        <v>45358.65234375</v>
      </c>
      <c r="U436" s="2">
        <v>0.83333333333333337</v>
      </c>
      <c r="V436">
        <v>55847.71484375</v>
      </c>
      <c r="W436">
        <v>28369.65234375</v>
      </c>
      <c r="X436">
        <v>32743.39453125</v>
      </c>
      <c r="Y436">
        <v>45240.22265625</v>
      </c>
      <c r="Z436">
        <v>72509.796875</v>
      </c>
      <c r="AA436">
        <v>29999.9140625</v>
      </c>
      <c r="AB436">
        <v>113078.4765625</v>
      </c>
      <c r="AC436">
        <v>101500.2265625</v>
      </c>
      <c r="AD436">
        <v>116282.4453125</v>
      </c>
      <c r="AE436">
        <v>134880.59375</v>
      </c>
      <c r="AF436">
        <v>26308.224609375</v>
      </c>
      <c r="AG436">
        <v>74259.984375</v>
      </c>
      <c r="AH436">
        <v>44420.94921875</v>
      </c>
      <c r="AI436">
        <v>45358.65234375</v>
      </c>
      <c r="AK436">
        <f t="shared" si="20"/>
        <v>920800.248046875</v>
      </c>
      <c r="AM436" s="2"/>
    </row>
    <row r="437" spans="1:39" x14ac:dyDescent="0.45">
      <c r="A437">
        <v>185</v>
      </c>
      <c r="B437">
        <v>58797.59375</v>
      </c>
      <c r="C437">
        <v>32022.171875</v>
      </c>
      <c r="D437">
        <v>33212.74609375</v>
      </c>
      <c r="E437">
        <v>49431.24609375</v>
      </c>
      <c r="F437">
        <v>76576.8046875</v>
      </c>
      <c r="G437">
        <v>36327.1796875</v>
      </c>
      <c r="H437">
        <v>122328.6640625</v>
      </c>
      <c r="I437">
        <v>109186.9296875</v>
      </c>
      <c r="J437">
        <v>123246.140625</v>
      </c>
      <c r="K437">
        <v>147551.03125</v>
      </c>
      <c r="L437">
        <v>25045.826171875</v>
      </c>
      <c r="M437">
        <v>85173.46875</v>
      </c>
      <c r="N437">
        <v>45077.03515625</v>
      </c>
      <c r="O437">
        <v>45038.52734375</v>
      </c>
      <c r="U437" s="2">
        <v>0.85416666666666663</v>
      </c>
      <c r="V437">
        <v>58797.59375</v>
      </c>
      <c r="W437">
        <v>32022.171875</v>
      </c>
      <c r="X437">
        <v>33212.74609375</v>
      </c>
      <c r="Y437">
        <v>49431.24609375</v>
      </c>
      <c r="Z437">
        <v>76576.8046875</v>
      </c>
      <c r="AA437">
        <v>36327.1796875</v>
      </c>
      <c r="AB437">
        <v>122328.6640625</v>
      </c>
      <c r="AC437">
        <v>109186.9296875</v>
      </c>
      <c r="AD437">
        <v>123246.140625</v>
      </c>
      <c r="AE437">
        <v>147551.03125</v>
      </c>
      <c r="AF437">
        <v>25045.826171875</v>
      </c>
      <c r="AG437">
        <v>85173.46875</v>
      </c>
      <c r="AH437">
        <v>45077.03515625</v>
      </c>
      <c r="AI437">
        <v>45038.52734375</v>
      </c>
      <c r="AK437">
        <f t="shared" si="20"/>
        <v>989015.365234375</v>
      </c>
      <c r="AM437" s="2"/>
    </row>
    <row r="438" spans="1:39" x14ac:dyDescent="0.45">
      <c r="A438">
        <v>186</v>
      </c>
      <c r="B438">
        <v>56619.1328125</v>
      </c>
      <c r="C438">
        <v>30865.00390625</v>
      </c>
      <c r="D438">
        <v>36063.12109375</v>
      </c>
      <c r="E438">
        <v>49721.4765625</v>
      </c>
      <c r="F438">
        <v>76607.25</v>
      </c>
      <c r="G438">
        <v>33312.53515625</v>
      </c>
      <c r="H438">
        <v>122488.671875</v>
      </c>
      <c r="I438">
        <v>108916.90625</v>
      </c>
      <c r="J438">
        <v>122493.921875</v>
      </c>
      <c r="K438">
        <v>146432.9375</v>
      </c>
      <c r="L438">
        <v>22691.091796875</v>
      </c>
      <c r="M438">
        <v>86707.8203125</v>
      </c>
      <c r="N438">
        <v>44836.95703125</v>
      </c>
      <c r="O438">
        <v>47017.61328125</v>
      </c>
      <c r="U438" s="2">
        <v>0.875</v>
      </c>
      <c r="V438">
        <v>56619.1328125</v>
      </c>
      <c r="W438">
        <v>30865.00390625</v>
      </c>
      <c r="X438">
        <v>36063.12109375</v>
      </c>
      <c r="Y438">
        <v>49721.4765625</v>
      </c>
      <c r="Z438">
        <v>76607.25</v>
      </c>
      <c r="AA438">
        <v>33312.53515625</v>
      </c>
      <c r="AB438">
        <v>122488.671875</v>
      </c>
      <c r="AC438">
        <v>108916.90625</v>
      </c>
      <c r="AD438">
        <v>122493.921875</v>
      </c>
      <c r="AE438">
        <v>146432.9375</v>
      </c>
      <c r="AF438">
        <v>22691.091796875</v>
      </c>
      <c r="AG438">
        <v>86707.8203125</v>
      </c>
      <c r="AH438">
        <v>44836.95703125</v>
      </c>
      <c r="AI438">
        <v>47017.61328125</v>
      </c>
      <c r="AK438">
        <f t="shared" si="20"/>
        <v>984774.439453125</v>
      </c>
      <c r="AM438" s="2"/>
    </row>
    <row r="439" spans="1:39" x14ac:dyDescent="0.45">
      <c r="A439">
        <v>187</v>
      </c>
      <c r="B439">
        <v>53387.703125</v>
      </c>
      <c r="C439">
        <v>31830.322265625</v>
      </c>
      <c r="D439">
        <v>36565.77734375</v>
      </c>
      <c r="E439">
        <v>48423.9375</v>
      </c>
      <c r="F439">
        <v>74418.875</v>
      </c>
      <c r="G439">
        <v>31640.193359375</v>
      </c>
      <c r="H439">
        <v>117929.5859375</v>
      </c>
      <c r="I439">
        <v>108680.796875</v>
      </c>
      <c r="J439">
        <v>116556.53125</v>
      </c>
      <c r="K439">
        <v>138737.140625</v>
      </c>
      <c r="L439">
        <v>25351.91796875</v>
      </c>
      <c r="M439">
        <v>82799.5703125</v>
      </c>
      <c r="N439">
        <v>46335.375</v>
      </c>
      <c r="O439">
        <v>45187.140625</v>
      </c>
      <c r="U439" s="2">
        <v>0.89583333333333337</v>
      </c>
      <c r="V439">
        <v>53387.703125</v>
      </c>
      <c r="W439">
        <v>31830.322265625</v>
      </c>
      <c r="X439">
        <v>36565.77734375</v>
      </c>
      <c r="Y439">
        <v>48423.9375</v>
      </c>
      <c r="Z439">
        <v>74418.875</v>
      </c>
      <c r="AA439">
        <v>31640.193359375</v>
      </c>
      <c r="AB439">
        <v>117929.5859375</v>
      </c>
      <c r="AC439">
        <v>108680.796875</v>
      </c>
      <c r="AD439">
        <v>116556.53125</v>
      </c>
      <c r="AE439">
        <v>138737.140625</v>
      </c>
      <c r="AF439">
        <v>25351.91796875</v>
      </c>
      <c r="AG439">
        <v>82799.5703125</v>
      </c>
      <c r="AH439">
        <v>46335.375</v>
      </c>
      <c r="AI439">
        <v>45187.140625</v>
      </c>
      <c r="AK439">
        <f t="shared" si="20"/>
        <v>957844.8671875</v>
      </c>
      <c r="AM439" s="2"/>
    </row>
    <row r="440" spans="1:39" x14ac:dyDescent="0.45">
      <c r="A440">
        <v>188</v>
      </c>
      <c r="B440">
        <v>48937.0703125</v>
      </c>
      <c r="C440">
        <v>27994.63671875</v>
      </c>
      <c r="D440">
        <v>29723.01171875</v>
      </c>
      <c r="E440">
        <v>45778.23046875</v>
      </c>
      <c r="F440">
        <v>67331.84375</v>
      </c>
      <c r="G440">
        <v>26973.30859375</v>
      </c>
      <c r="H440">
        <v>108282.640625</v>
      </c>
      <c r="I440">
        <v>100511.890625</v>
      </c>
      <c r="J440">
        <v>109210.71875</v>
      </c>
      <c r="K440">
        <v>131849.9375</v>
      </c>
      <c r="L440">
        <v>24821.78515625</v>
      </c>
      <c r="M440">
        <v>73526.3359375</v>
      </c>
      <c r="N440">
        <v>42270.41796875</v>
      </c>
      <c r="O440">
        <v>44950.55859375</v>
      </c>
      <c r="U440" s="2">
        <v>0.91666666666666663</v>
      </c>
      <c r="V440">
        <v>48937.0703125</v>
      </c>
      <c r="W440">
        <v>27994.63671875</v>
      </c>
      <c r="X440">
        <v>29723.01171875</v>
      </c>
      <c r="Y440">
        <v>45778.23046875</v>
      </c>
      <c r="Z440">
        <v>67331.84375</v>
      </c>
      <c r="AA440">
        <v>26973.30859375</v>
      </c>
      <c r="AB440">
        <v>108282.640625</v>
      </c>
      <c r="AC440">
        <v>100511.890625</v>
      </c>
      <c r="AD440">
        <v>109210.71875</v>
      </c>
      <c r="AE440">
        <v>131849.9375</v>
      </c>
      <c r="AF440">
        <v>24821.78515625</v>
      </c>
      <c r="AG440">
        <v>73526.3359375</v>
      </c>
      <c r="AH440">
        <v>42270.41796875</v>
      </c>
      <c r="AI440">
        <v>44950.55859375</v>
      </c>
      <c r="AK440">
        <f t="shared" si="20"/>
        <v>882162.38671875</v>
      </c>
      <c r="AM440" s="2"/>
    </row>
    <row r="441" spans="1:39" x14ac:dyDescent="0.45">
      <c r="A441">
        <v>189</v>
      </c>
      <c r="B441">
        <v>48905.5078125</v>
      </c>
      <c r="C441">
        <v>29428.51953125</v>
      </c>
      <c r="D441">
        <v>31766.1875</v>
      </c>
      <c r="E441">
        <v>45492.109375</v>
      </c>
      <c r="F441">
        <v>68486.4453125</v>
      </c>
      <c r="G441">
        <v>28223.55859375</v>
      </c>
      <c r="H441">
        <v>107891.21875</v>
      </c>
      <c r="I441">
        <v>99429.4921875</v>
      </c>
      <c r="J441">
        <v>111591.3203125</v>
      </c>
      <c r="K441">
        <v>128727.3359375</v>
      </c>
      <c r="L441">
        <v>27420.5625</v>
      </c>
      <c r="M441">
        <v>75454.3671875</v>
      </c>
      <c r="N441">
        <v>37141.09765625</v>
      </c>
      <c r="O441">
        <v>42493.72265625</v>
      </c>
      <c r="U441" s="2">
        <v>0.9375</v>
      </c>
      <c r="V441">
        <v>48905.5078125</v>
      </c>
      <c r="W441">
        <v>29428.51953125</v>
      </c>
      <c r="X441">
        <v>31766.1875</v>
      </c>
      <c r="Y441">
        <v>45492.109375</v>
      </c>
      <c r="Z441">
        <v>68486.4453125</v>
      </c>
      <c r="AA441">
        <v>28223.55859375</v>
      </c>
      <c r="AB441">
        <v>107891.21875</v>
      </c>
      <c r="AC441">
        <v>99429.4921875</v>
      </c>
      <c r="AD441">
        <v>111591.3203125</v>
      </c>
      <c r="AE441">
        <v>128727.3359375</v>
      </c>
      <c r="AF441">
        <v>27420.5625</v>
      </c>
      <c r="AG441">
        <v>75454.3671875</v>
      </c>
      <c r="AH441">
        <v>37141.09765625</v>
      </c>
      <c r="AI441">
        <v>42493.72265625</v>
      </c>
      <c r="AK441">
        <f t="shared" si="20"/>
        <v>882451.4453125</v>
      </c>
      <c r="AM441" s="2"/>
    </row>
    <row r="442" spans="1:39" x14ac:dyDescent="0.45">
      <c r="A442">
        <v>190</v>
      </c>
      <c r="B442">
        <v>47110.46875</v>
      </c>
      <c r="C442">
        <v>26443.982421875</v>
      </c>
      <c r="D442">
        <v>27994.939453125</v>
      </c>
      <c r="E442">
        <v>49723.453125</v>
      </c>
      <c r="F442">
        <v>63201.4453125</v>
      </c>
      <c r="G442">
        <v>26341.189453125</v>
      </c>
      <c r="H442">
        <v>101703.75</v>
      </c>
      <c r="I442">
        <v>99223.390625</v>
      </c>
      <c r="J442">
        <v>107998.4609375</v>
      </c>
      <c r="K442">
        <v>132094.03125</v>
      </c>
      <c r="L442">
        <v>24549.658203125</v>
      </c>
      <c r="M442">
        <v>66693.5390625</v>
      </c>
      <c r="N442">
        <v>43366.62890625</v>
      </c>
      <c r="O442">
        <v>44304.3125</v>
      </c>
      <c r="U442" s="2">
        <v>0.95833333333333337</v>
      </c>
      <c r="V442">
        <v>47110.46875</v>
      </c>
      <c r="W442">
        <v>26443.982421875</v>
      </c>
      <c r="X442">
        <v>27994.939453125</v>
      </c>
      <c r="Y442">
        <v>49723.453125</v>
      </c>
      <c r="Z442">
        <v>63201.4453125</v>
      </c>
      <c r="AA442">
        <v>26341.189453125</v>
      </c>
      <c r="AB442">
        <v>101703.75</v>
      </c>
      <c r="AC442">
        <v>99223.390625</v>
      </c>
      <c r="AD442">
        <v>107998.4609375</v>
      </c>
      <c r="AE442">
        <v>132094.03125</v>
      </c>
      <c r="AF442">
        <v>24549.658203125</v>
      </c>
      <c r="AG442">
        <v>66693.5390625</v>
      </c>
      <c r="AH442">
        <v>43366.62890625</v>
      </c>
      <c r="AI442">
        <v>44304.3125</v>
      </c>
      <c r="AK442">
        <f t="shared" si="20"/>
        <v>860749.25</v>
      </c>
      <c r="AM442" s="2"/>
    </row>
    <row r="443" spans="1:39" x14ac:dyDescent="0.45">
      <c r="A443">
        <v>191</v>
      </c>
      <c r="B443">
        <v>39873.52734375</v>
      </c>
      <c r="C443">
        <v>28988.759765625</v>
      </c>
      <c r="D443">
        <v>25415.736328125</v>
      </c>
      <c r="E443">
        <v>43143.84375</v>
      </c>
      <c r="F443">
        <v>60283.3359375</v>
      </c>
      <c r="G443">
        <v>26811.27734375</v>
      </c>
      <c r="H443">
        <v>93989.921875</v>
      </c>
      <c r="I443">
        <v>83127.6484375</v>
      </c>
      <c r="J443">
        <v>99990.484375</v>
      </c>
      <c r="K443">
        <v>108787.4140625</v>
      </c>
      <c r="L443">
        <v>27982.720703125</v>
      </c>
      <c r="M443">
        <v>60661.6015625</v>
      </c>
      <c r="N443">
        <v>31853.802734375</v>
      </c>
      <c r="O443">
        <v>30727.931640625</v>
      </c>
      <c r="U443" s="2">
        <v>0.97916666666666663</v>
      </c>
      <c r="V443">
        <v>39873.52734375</v>
      </c>
      <c r="W443">
        <v>28988.759765625</v>
      </c>
      <c r="X443">
        <v>25415.736328125</v>
      </c>
      <c r="Y443">
        <v>43143.84375</v>
      </c>
      <c r="Z443">
        <v>60283.3359375</v>
      </c>
      <c r="AA443">
        <v>26811.27734375</v>
      </c>
      <c r="AB443">
        <v>93989.921875</v>
      </c>
      <c r="AC443">
        <v>83127.6484375</v>
      </c>
      <c r="AD443">
        <v>99990.484375</v>
      </c>
      <c r="AE443">
        <v>108787.4140625</v>
      </c>
      <c r="AF443">
        <v>27982.720703125</v>
      </c>
      <c r="AG443">
        <v>60661.6015625</v>
      </c>
      <c r="AH443">
        <v>31853.802734375</v>
      </c>
      <c r="AI443">
        <v>30727.931640625</v>
      </c>
      <c r="AK443">
        <f t="shared" si="20"/>
        <v>761638.005859375</v>
      </c>
      <c r="AM443" s="2"/>
    </row>
    <row r="444" spans="1:39" x14ac:dyDescent="0.45">
      <c r="A444">
        <v>192</v>
      </c>
      <c r="B444">
        <v>36106.62109375</v>
      </c>
      <c r="C444">
        <v>26204.42578125</v>
      </c>
      <c r="D444">
        <v>23109.677734375</v>
      </c>
      <c r="E444">
        <v>38228.21875</v>
      </c>
      <c r="F444">
        <v>52601.5234375</v>
      </c>
      <c r="G444">
        <v>23166.451171875</v>
      </c>
      <c r="H444">
        <v>84256.640625</v>
      </c>
      <c r="I444">
        <v>78660.1875</v>
      </c>
      <c r="J444">
        <v>87971.3125</v>
      </c>
      <c r="K444">
        <v>99153.0546875</v>
      </c>
      <c r="L444">
        <v>24603.828125</v>
      </c>
      <c r="M444">
        <v>56202.44921875</v>
      </c>
      <c r="N444">
        <v>33040.92578125</v>
      </c>
      <c r="O444">
        <v>31226.8984375</v>
      </c>
      <c r="U444" s="2">
        <v>0</v>
      </c>
      <c r="V444">
        <v>36106.62109375</v>
      </c>
      <c r="W444">
        <v>26204.42578125</v>
      </c>
      <c r="X444">
        <v>23109.677734375</v>
      </c>
      <c r="Y444">
        <v>38228.21875</v>
      </c>
      <c r="Z444">
        <v>52601.5234375</v>
      </c>
      <c r="AA444">
        <v>23166.451171875</v>
      </c>
      <c r="AB444">
        <v>84256.640625</v>
      </c>
      <c r="AC444">
        <v>78660.1875</v>
      </c>
      <c r="AD444">
        <v>87971.3125</v>
      </c>
      <c r="AE444">
        <v>99153.0546875</v>
      </c>
      <c r="AF444">
        <v>24603.828125</v>
      </c>
      <c r="AG444">
        <v>56202.44921875</v>
      </c>
      <c r="AH444">
        <v>33040.92578125</v>
      </c>
      <c r="AI444">
        <v>31226.8984375</v>
      </c>
      <c r="AK444">
        <f t="shared" si="20"/>
        <v>694532.21484375</v>
      </c>
      <c r="AM444" s="2"/>
    </row>
    <row r="445" spans="1:39" x14ac:dyDescent="0.45">
      <c r="A445">
        <v>193</v>
      </c>
      <c r="B445">
        <v>38366.3671875</v>
      </c>
      <c r="C445">
        <v>18401.373046875</v>
      </c>
      <c r="D445">
        <v>21980.154296875</v>
      </c>
      <c r="E445">
        <v>37926.125</v>
      </c>
      <c r="F445">
        <v>43299.9921875</v>
      </c>
      <c r="G445">
        <v>24326.841796875</v>
      </c>
      <c r="H445">
        <v>76855.1640625</v>
      </c>
      <c r="I445">
        <v>70397.125</v>
      </c>
      <c r="J445">
        <v>80027.4921875</v>
      </c>
      <c r="K445">
        <v>93824.2578125</v>
      </c>
      <c r="L445">
        <v>18305.890625</v>
      </c>
      <c r="M445">
        <v>52040.765625</v>
      </c>
      <c r="N445">
        <v>27602.7265625</v>
      </c>
      <c r="O445">
        <v>26024.38671875</v>
      </c>
      <c r="U445" s="2">
        <v>2.0833333333333332E-2</v>
      </c>
      <c r="V445">
        <v>38366.3671875</v>
      </c>
      <c r="W445">
        <v>18401.373046875</v>
      </c>
      <c r="X445">
        <v>21980.154296875</v>
      </c>
      <c r="Y445">
        <v>37926.125</v>
      </c>
      <c r="Z445">
        <v>43299.9921875</v>
      </c>
      <c r="AA445">
        <v>24326.841796875</v>
      </c>
      <c r="AB445">
        <v>76855.1640625</v>
      </c>
      <c r="AC445">
        <v>70397.125</v>
      </c>
      <c r="AD445">
        <v>80027.4921875</v>
      </c>
      <c r="AE445">
        <v>93824.2578125</v>
      </c>
      <c r="AF445">
        <v>18305.890625</v>
      </c>
      <c r="AG445">
        <v>52040.765625</v>
      </c>
      <c r="AH445">
        <v>27602.7265625</v>
      </c>
      <c r="AI445">
        <v>26024.38671875</v>
      </c>
      <c r="AK445">
        <f t="shared" si="20"/>
        <v>629378.662109375</v>
      </c>
      <c r="AM445" s="2"/>
    </row>
    <row r="446" spans="1:39" x14ac:dyDescent="0.45">
      <c r="A446">
        <v>194</v>
      </c>
      <c r="B446">
        <v>38760.28125</v>
      </c>
      <c r="C446">
        <v>17423.3671875</v>
      </c>
      <c r="D446">
        <v>22551.662109375</v>
      </c>
      <c r="E446">
        <v>34650.83984375</v>
      </c>
      <c r="F446">
        <v>43149.33203125</v>
      </c>
      <c r="G446">
        <v>23954.470703125</v>
      </c>
      <c r="H446">
        <v>76302.9609375</v>
      </c>
      <c r="I446">
        <v>68712.5078125</v>
      </c>
      <c r="J446">
        <v>76358.4609375</v>
      </c>
      <c r="K446">
        <v>90526.8984375</v>
      </c>
      <c r="L446">
        <v>16219.0791015625</v>
      </c>
      <c r="M446">
        <v>53441.22265625</v>
      </c>
      <c r="N446">
        <v>25938.2734375</v>
      </c>
      <c r="O446">
        <v>24539.908203125</v>
      </c>
      <c r="U446" s="2">
        <v>4.1666666666666664E-2</v>
      </c>
      <c r="V446">
        <v>38760.28125</v>
      </c>
      <c r="W446">
        <v>17423.3671875</v>
      </c>
      <c r="X446">
        <v>22551.662109375</v>
      </c>
      <c r="Y446">
        <v>34650.83984375</v>
      </c>
      <c r="Z446">
        <v>43149.33203125</v>
      </c>
      <c r="AA446">
        <v>23954.470703125</v>
      </c>
      <c r="AB446">
        <v>76302.9609375</v>
      </c>
      <c r="AC446">
        <v>68712.5078125</v>
      </c>
      <c r="AD446">
        <v>76358.4609375</v>
      </c>
      <c r="AE446">
        <v>90526.8984375</v>
      </c>
      <c r="AF446">
        <v>16219.0791015625</v>
      </c>
      <c r="AG446">
        <v>53441.22265625</v>
      </c>
      <c r="AH446">
        <v>25938.2734375</v>
      </c>
      <c r="AI446">
        <v>24539.908203125</v>
      </c>
      <c r="AK446">
        <f t="shared" ref="AK446:AK492" si="21">SUM(V446:AI446)</f>
        <v>612529.2646484375</v>
      </c>
      <c r="AM446" s="2"/>
    </row>
    <row r="447" spans="1:39" x14ac:dyDescent="0.45">
      <c r="A447">
        <v>195</v>
      </c>
      <c r="B447">
        <v>35173.54296875</v>
      </c>
      <c r="C447">
        <v>15173.4775390625</v>
      </c>
      <c r="D447">
        <v>20306.853515625</v>
      </c>
      <c r="E447">
        <v>29529.140625</v>
      </c>
      <c r="F447">
        <v>39287.91796875</v>
      </c>
      <c r="G447">
        <v>21040.126953125</v>
      </c>
      <c r="H447">
        <v>67981.859375</v>
      </c>
      <c r="I447">
        <v>62636.33203125</v>
      </c>
      <c r="J447">
        <v>67530.359375</v>
      </c>
      <c r="K447">
        <v>82114.109375</v>
      </c>
      <c r="L447">
        <v>14762.62109375</v>
      </c>
      <c r="M447">
        <v>46494.97265625</v>
      </c>
      <c r="N447">
        <v>25114.087890625</v>
      </c>
      <c r="O447">
        <v>24223.802734375</v>
      </c>
      <c r="U447" s="2">
        <v>6.25E-2</v>
      </c>
      <c r="V447">
        <v>35173.54296875</v>
      </c>
      <c r="W447">
        <v>15173.4775390625</v>
      </c>
      <c r="X447">
        <v>20306.853515625</v>
      </c>
      <c r="Y447">
        <v>29529.140625</v>
      </c>
      <c r="Z447">
        <v>39287.91796875</v>
      </c>
      <c r="AA447">
        <v>21040.126953125</v>
      </c>
      <c r="AB447">
        <v>67981.859375</v>
      </c>
      <c r="AC447">
        <v>62636.33203125</v>
      </c>
      <c r="AD447">
        <v>67530.359375</v>
      </c>
      <c r="AE447">
        <v>82114.109375</v>
      </c>
      <c r="AF447">
        <v>14762.62109375</v>
      </c>
      <c r="AG447">
        <v>46494.97265625</v>
      </c>
      <c r="AH447">
        <v>25114.087890625</v>
      </c>
      <c r="AI447">
        <v>24223.802734375</v>
      </c>
      <c r="AK447">
        <f t="shared" si="21"/>
        <v>551369.2041015625</v>
      </c>
      <c r="AM447" s="2"/>
    </row>
    <row r="448" spans="1:39" x14ac:dyDescent="0.45">
      <c r="A448">
        <v>196</v>
      </c>
      <c r="B448">
        <v>32086.619140625</v>
      </c>
      <c r="C448">
        <v>15282.8984375</v>
      </c>
      <c r="D448">
        <v>20587.224609375</v>
      </c>
      <c r="E448">
        <v>27080.40234375</v>
      </c>
      <c r="F448">
        <v>37013.10546875</v>
      </c>
      <c r="G448">
        <v>21206.921875</v>
      </c>
      <c r="H448">
        <v>64267.2734375</v>
      </c>
      <c r="I448">
        <v>60743.546875</v>
      </c>
      <c r="J448">
        <v>62529.44921875</v>
      </c>
      <c r="K448">
        <v>76380.5078125</v>
      </c>
      <c r="L448">
        <v>13348.16796875</v>
      </c>
      <c r="M448">
        <v>46639.0703125</v>
      </c>
      <c r="N448">
        <v>21825.39453125</v>
      </c>
      <c r="O448">
        <v>22049.126953125</v>
      </c>
      <c r="U448" s="2">
        <v>8.3333333333333329E-2</v>
      </c>
      <c r="V448">
        <v>32086.619140625</v>
      </c>
      <c r="W448">
        <v>15282.8984375</v>
      </c>
      <c r="X448">
        <v>20587.224609375</v>
      </c>
      <c r="Y448">
        <v>27080.40234375</v>
      </c>
      <c r="Z448">
        <v>37013.10546875</v>
      </c>
      <c r="AA448">
        <v>21206.921875</v>
      </c>
      <c r="AB448">
        <v>64267.2734375</v>
      </c>
      <c r="AC448">
        <v>60743.546875</v>
      </c>
      <c r="AD448">
        <v>62529.44921875</v>
      </c>
      <c r="AE448">
        <v>76380.5078125</v>
      </c>
      <c r="AF448">
        <v>13348.16796875</v>
      </c>
      <c r="AG448">
        <v>46639.0703125</v>
      </c>
      <c r="AH448">
        <v>21825.39453125</v>
      </c>
      <c r="AI448">
        <v>22049.126953125</v>
      </c>
      <c r="AK448">
        <f t="shared" si="21"/>
        <v>521039.708984375</v>
      </c>
      <c r="AM448" s="2"/>
    </row>
    <row r="449" spans="1:39" x14ac:dyDescent="0.45">
      <c r="A449">
        <v>197</v>
      </c>
      <c r="B449">
        <v>26544.2421875</v>
      </c>
      <c r="C449">
        <v>13593.9248046875</v>
      </c>
      <c r="D449">
        <v>20735.365234375</v>
      </c>
      <c r="E449">
        <v>22989.09375</v>
      </c>
      <c r="F449">
        <v>33728.5546875</v>
      </c>
      <c r="G449">
        <v>25216.970703125</v>
      </c>
      <c r="H449">
        <v>58553.65234375</v>
      </c>
      <c r="I449">
        <v>64354.96484375</v>
      </c>
      <c r="J449">
        <v>55243.4765625</v>
      </c>
      <c r="K449">
        <v>74238.6328125</v>
      </c>
      <c r="L449">
        <v>12795.9990234375</v>
      </c>
      <c r="M449">
        <v>50638.33984375</v>
      </c>
      <c r="N449">
        <v>20460.994140625</v>
      </c>
      <c r="O449">
        <v>20392.58203125</v>
      </c>
      <c r="U449" s="2">
        <v>0.10416666666666667</v>
      </c>
      <c r="V449">
        <v>26544.2421875</v>
      </c>
      <c r="W449">
        <v>13593.9248046875</v>
      </c>
      <c r="X449">
        <v>20735.365234375</v>
      </c>
      <c r="Y449">
        <v>22989.09375</v>
      </c>
      <c r="Z449">
        <v>33728.5546875</v>
      </c>
      <c r="AA449">
        <v>25216.970703125</v>
      </c>
      <c r="AB449">
        <v>58553.65234375</v>
      </c>
      <c r="AC449">
        <v>64354.96484375</v>
      </c>
      <c r="AD449">
        <v>55243.4765625</v>
      </c>
      <c r="AE449">
        <v>74238.6328125</v>
      </c>
      <c r="AF449">
        <v>12795.9990234375</v>
      </c>
      <c r="AG449">
        <v>50638.33984375</v>
      </c>
      <c r="AH449">
        <v>20460.994140625</v>
      </c>
      <c r="AI449">
        <v>20392.58203125</v>
      </c>
      <c r="AK449">
        <f t="shared" si="21"/>
        <v>499486.79296875</v>
      </c>
      <c r="AM449" s="2"/>
    </row>
    <row r="450" spans="1:39" x14ac:dyDescent="0.45">
      <c r="A450">
        <v>198</v>
      </c>
      <c r="B450">
        <v>26164.04296875</v>
      </c>
      <c r="C450">
        <v>13454.353515625</v>
      </c>
      <c r="D450">
        <v>20258.279296875</v>
      </c>
      <c r="E450">
        <v>23353.2890625</v>
      </c>
      <c r="F450">
        <v>33628.6171875</v>
      </c>
      <c r="G450">
        <v>23956.740234375</v>
      </c>
      <c r="H450">
        <v>56161.09765625</v>
      </c>
      <c r="I450">
        <v>62878.4140625</v>
      </c>
      <c r="J450">
        <v>54899.3671875</v>
      </c>
      <c r="K450">
        <v>72604.3671875</v>
      </c>
      <c r="L450">
        <v>12577.9306640625</v>
      </c>
      <c r="M450">
        <v>47569.27734375</v>
      </c>
      <c r="N450">
        <v>20639.02734375</v>
      </c>
      <c r="O450">
        <v>20430.5625</v>
      </c>
      <c r="U450" s="2">
        <v>0.125</v>
      </c>
      <c r="V450">
        <v>26164.04296875</v>
      </c>
      <c r="W450">
        <v>13454.353515625</v>
      </c>
      <c r="X450">
        <v>20258.279296875</v>
      </c>
      <c r="Y450">
        <v>23353.2890625</v>
      </c>
      <c r="Z450">
        <v>33628.6171875</v>
      </c>
      <c r="AA450">
        <v>23956.740234375</v>
      </c>
      <c r="AB450">
        <v>56161.09765625</v>
      </c>
      <c r="AC450">
        <v>62878.4140625</v>
      </c>
      <c r="AD450">
        <v>54899.3671875</v>
      </c>
      <c r="AE450">
        <v>72604.3671875</v>
      </c>
      <c r="AF450">
        <v>12577.9306640625</v>
      </c>
      <c r="AG450">
        <v>47569.27734375</v>
      </c>
      <c r="AH450">
        <v>20639.02734375</v>
      </c>
      <c r="AI450">
        <v>20430.5625</v>
      </c>
      <c r="AK450">
        <f t="shared" si="21"/>
        <v>488575.3662109375</v>
      </c>
      <c r="AM450" s="2"/>
    </row>
    <row r="451" spans="1:39" x14ac:dyDescent="0.45">
      <c r="A451">
        <v>199</v>
      </c>
      <c r="B451">
        <v>27498.84375</v>
      </c>
      <c r="C451">
        <v>14169.84375</v>
      </c>
      <c r="D451">
        <v>21582.109375</v>
      </c>
      <c r="E451">
        <v>25529.935546875</v>
      </c>
      <c r="F451">
        <v>36515.33203125</v>
      </c>
      <c r="G451">
        <v>22810.4921875</v>
      </c>
      <c r="H451">
        <v>59903.9609375</v>
      </c>
      <c r="I451">
        <v>63770.7421875</v>
      </c>
      <c r="J451">
        <v>60106.65234375</v>
      </c>
      <c r="K451">
        <v>75314.8828125</v>
      </c>
      <c r="L451">
        <v>12739.98046875</v>
      </c>
      <c r="M451">
        <v>47903.421875</v>
      </c>
      <c r="N451">
        <v>22117.39453125</v>
      </c>
      <c r="O451">
        <v>21541.841796875</v>
      </c>
      <c r="U451" s="2">
        <v>0.14583333333333334</v>
      </c>
      <c r="V451">
        <v>27498.84375</v>
      </c>
      <c r="W451">
        <v>14169.84375</v>
      </c>
      <c r="X451">
        <v>21582.109375</v>
      </c>
      <c r="Y451">
        <v>25529.935546875</v>
      </c>
      <c r="Z451">
        <v>36515.33203125</v>
      </c>
      <c r="AA451">
        <v>22810.4921875</v>
      </c>
      <c r="AB451">
        <v>59903.9609375</v>
      </c>
      <c r="AC451">
        <v>63770.7421875</v>
      </c>
      <c r="AD451">
        <v>60106.65234375</v>
      </c>
      <c r="AE451">
        <v>75314.8828125</v>
      </c>
      <c r="AF451">
        <v>12739.98046875</v>
      </c>
      <c r="AG451">
        <v>47903.421875</v>
      </c>
      <c r="AH451">
        <v>22117.39453125</v>
      </c>
      <c r="AI451">
        <v>21541.841796875</v>
      </c>
      <c r="AK451">
        <f t="shared" si="21"/>
        <v>511505.43359375</v>
      </c>
      <c r="AM451" s="2"/>
    </row>
    <row r="452" spans="1:39" x14ac:dyDescent="0.45">
      <c r="A452">
        <v>200</v>
      </c>
      <c r="B452">
        <v>25282.923828125</v>
      </c>
      <c r="C452">
        <v>12571.2607421875</v>
      </c>
      <c r="D452">
        <v>20770.98046875</v>
      </c>
      <c r="E452">
        <v>25354</v>
      </c>
      <c r="F452">
        <v>34660.35546875</v>
      </c>
      <c r="G452">
        <v>17447.41015625</v>
      </c>
      <c r="H452">
        <v>56172.984375</v>
      </c>
      <c r="I452">
        <v>59679.28515625</v>
      </c>
      <c r="J452">
        <v>57189.953125</v>
      </c>
      <c r="K452">
        <v>70855.84375</v>
      </c>
      <c r="L452">
        <v>11899.7099609375</v>
      </c>
      <c r="M452">
        <v>42459.71875</v>
      </c>
      <c r="N452">
        <v>24770.044921875</v>
      </c>
      <c r="O452">
        <v>23559.61328125</v>
      </c>
      <c r="U452" s="2">
        <v>0.16666666666666666</v>
      </c>
      <c r="V452">
        <v>25282.923828125</v>
      </c>
      <c r="W452">
        <v>12571.2607421875</v>
      </c>
      <c r="X452">
        <v>20770.98046875</v>
      </c>
      <c r="Y452">
        <v>25354</v>
      </c>
      <c r="Z452">
        <v>34660.35546875</v>
      </c>
      <c r="AA452">
        <v>17447.41015625</v>
      </c>
      <c r="AB452">
        <v>56172.984375</v>
      </c>
      <c r="AC452">
        <v>59679.28515625</v>
      </c>
      <c r="AD452">
        <v>57189.953125</v>
      </c>
      <c r="AE452">
        <v>70855.84375</v>
      </c>
      <c r="AF452">
        <v>11899.7099609375</v>
      </c>
      <c r="AG452">
        <v>42459.71875</v>
      </c>
      <c r="AH452">
        <v>24770.044921875</v>
      </c>
      <c r="AI452">
        <v>23559.61328125</v>
      </c>
      <c r="AK452">
        <f t="shared" si="21"/>
        <v>482674.083984375</v>
      </c>
      <c r="AM452" s="2"/>
    </row>
    <row r="453" spans="1:39" x14ac:dyDescent="0.45">
      <c r="A453">
        <v>201</v>
      </c>
      <c r="B453">
        <v>24503.82421875</v>
      </c>
      <c r="C453">
        <v>13406.3232421875</v>
      </c>
      <c r="D453">
        <v>18885.6171875</v>
      </c>
      <c r="E453">
        <v>24181.66796875</v>
      </c>
      <c r="F453">
        <v>32323.669921875</v>
      </c>
      <c r="G453">
        <v>15701.0224609375</v>
      </c>
      <c r="H453">
        <v>55547.77734375</v>
      </c>
      <c r="I453">
        <v>58933.7578125</v>
      </c>
      <c r="J453">
        <v>55082.69140625</v>
      </c>
      <c r="K453">
        <v>68357.15625</v>
      </c>
      <c r="L453">
        <v>13591.0166015625</v>
      </c>
      <c r="M453">
        <v>41790.40234375</v>
      </c>
      <c r="N453">
        <v>22267.35546875</v>
      </c>
      <c r="O453">
        <v>23789.20703125</v>
      </c>
      <c r="U453" s="2">
        <v>0.1875</v>
      </c>
      <c r="V453">
        <v>24503.82421875</v>
      </c>
      <c r="W453">
        <v>13406.3232421875</v>
      </c>
      <c r="X453">
        <v>18885.6171875</v>
      </c>
      <c r="Y453">
        <v>24181.66796875</v>
      </c>
      <c r="Z453">
        <v>32323.669921875</v>
      </c>
      <c r="AA453">
        <v>15701.0224609375</v>
      </c>
      <c r="AB453">
        <v>55547.77734375</v>
      </c>
      <c r="AC453">
        <v>58933.7578125</v>
      </c>
      <c r="AD453">
        <v>55082.69140625</v>
      </c>
      <c r="AE453">
        <v>68357.15625</v>
      </c>
      <c r="AF453">
        <v>13591.0166015625</v>
      </c>
      <c r="AG453">
        <v>41790.40234375</v>
      </c>
      <c r="AH453">
        <v>22267.35546875</v>
      </c>
      <c r="AI453">
        <v>23789.20703125</v>
      </c>
      <c r="AK453">
        <f t="shared" si="21"/>
        <v>468361.4892578125</v>
      </c>
      <c r="AM453" s="2"/>
    </row>
    <row r="454" spans="1:39" x14ac:dyDescent="0.45">
      <c r="A454">
        <v>202</v>
      </c>
      <c r="B454">
        <v>25395.12890625</v>
      </c>
      <c r="C454">
        <v>15578.685546875</v>
      </c>
      <c r="D454">
        <v>16961.623046875</v>
      </c>
      <c r="E454">
        <v>25261.96875</v>
      </c>
      <c r="F454">
        <v>34282.0078125</v>
      </c>
      <c r="G454">
        <v>15000.9501953125</v>
      </c>
      <c r="H454">
        <v>57173.34375</v>
      </c>
      <c r="I454">
        <v>56039.99609375</v>
      </c>
      <c r="J454">
        <v>57339.9296875</v>
      </c>
      <c r="K454">
        <v>67781.328125</v>
      </c>
      <c r="L454">
        <v>15223.3974609375</v>
      </c>
      <c r="M454">
        <v>37970.2421875</v>
      </c>
      <c r="N454">
        <v>21719.279296875</v>
      </c>
      <c r="O454">
        <v>21849.044921875</v>
      </c>
      <c r="U454" s="2">
        <v>0.20833333333333334</v>
      </c>
      <c r="V454">
        <v>25395.12890625</v>
      </c>
      <c r="W454">
        <v>15578.685546875</v>
      </c>
      <c r="X454">
        <v>16961.623046875</v>
      </c>
      <c r="Y454">
        <v>25261.96875</v>
      </c>
      <c r="Z454">
        <v>34282.0078125</v>
      </c>
      <c r="AA454">
        <v>15000.9501953125</v>
      </c>
      <c r="AB454">
        <v>57173.34375</v>
      </c>
      <c r="AC454">
        <v>56039.99609375</v>
      </c>
      <c r="AD454">
        <v>57339.9296875</v>
      </c>
      <c r="AE454">
        <v>67781.328125</v>
      </c>
      <c r="AF454">
        <v>15223.3974609375</v>
      </c>
      <c r="AG454">
        <v>37970.2421875</v>
      </c>
      <c r="AH454">
        <v>21719.279296875</v>
      </c>
      <c r="AI454">
        <v>21849.044921875</v>
      </c>
      <c r="AK454">
        <f t="shared" si="21"/>
        <v>467576.92578125</v>
      </c>
      <c r="AM454" s="2"/>
    </row>
    <row r="455" spans="1:39" x14ac:dyDescent="0.45">
      <c r="A455">
        <v>203</v>
      </c>
      <c r="B455">
        <v>29493.216796875</v>
      </c>
      <c r="C455">
        <v>16416.669921875</v>
      </c>
      <c r="D455">
        <v>17797.3828125</v>
      </c>
      <c r="E455">
        <v>27322.61328125</v>
      </c>
      <c r="F455">
        <v>39210.23046875</v>
      </c>
      <c r="G455">
        <v>16147.212890625</v>
      </c>
      <c r="H455">
        <v>62608.6484375</v>
      </c>
      <c r="I455">
        <v>58194.79296875</v>
      </c>
      <c r="J455">
        <v>64873.01953125</v>
      </c>
      <c r="K455">
        <v>74754.875</v>
      </c>
      <c r="L455">
        <v>14667.9189453125</v>
      </c>
      <c r="M455">
        <v>41621.4375</v>
      </c>
      <c r="N455">
        <v>22625.541015625</v>
      </c>
      <c r="O455">
        <v>23137.470703125</v>
      </c>
      <c r="U455" s="2">
        <v>0.22916666666666666</v>
      </c>
      <c r="V455">
        <v>29493.216796875</v>
      </c>
      <c r="W455">
        <v>16416.669921875</v>
      </c>
      <c r="X455">
        <v>17797.3828125</v>
      </c>
      <c r="Y455">
        <v>27322.61328125</v>
      </c>
      <c r="Z455">
        <v>39210.23046875</v>
      </c>
      <c r="AA455">
        <v>16147.212890625</v>
      </c>
      <c r="AB455">
        <v>62608.6484375</v>
      </c>
      <c r="AC455">
        <v>58194.79296875</v>
      </c>
      <c r="AD455">
        <v>64873.01953125</v>
      </c>
      <c r="AE455">
        <v>74754.875</v>
      </c>
      <c r="AF455">
        <v>14667.9189453125</v>
      </c>
      <c r="AG455">
        <v>41621.4375</v>
      </c>
      <c r="AH455">
        <v>22625.541015625</v>
      </c>
      <c r="AI455">
        <v>23137.470703125</v>
      </c>
      <c r="AK455">
        <f t="shared" si="21"/>
        <v>508871.0302734375</v>
      </c>
      <c r="AM455" s="2"/>
    </row>
    <row r="456" spans="1:39" x14ac:dyDescent="0.45">
      <c r="A456">
        <v>204</v>
      </c>
      <c r="B456">
        <v>33202.2421875</v>
      </c>
      <c r="C456">
        <v>16605.513671875</v>
      </c>
      <c r="D456">
        <v>17083.05859375</v>
      </c>
      <c r="E456">
        <v>27804.869140625</v>
      </c>
      <c r="F456">
        <v>41612.67578125</v>
      </c>
      <c r="G456">
        <v>15735.09375</v>
      </c>
      <c r="H456">
        <v>65185.19921875</v>
      </c>
      <c r="I456">
        <v>55863.92578125</v>
      </c>
      <c r="J456">
        <v>67238.3046875</v>
      </c>
      <c r="K456">
        <v>76569.0546875</v>
      </c>
      <c r="L456">
        <v>14862.650390625</v>
      </c>
      <c r="M456">
        <v>39948.87890625</v>
      </c>
      <c r="N456">
        <v>23183.625</v>
      </c>
      <c r="O456">
        <v>22955.400390625</v>
      </c>
      <c r="U456" s="2">
        <v>0.25</v>
      </c>
      <c r="V456">
        <v>33202.2421875</v>
      </c>
      <c r="W456">
        <v>16605.513671875</v>
      </c>
      <c r="X456">
        <v>17083.05859375</v>
      </c>
      <c r="Y456">
        <v>27804.869140625</v>
      </c>
      <c r="Z456">
        <v>41612.67578125</v>
      </c>
      <c r="AA456">
        <v>15735.09375</v>
      </c>
      <c r="AB456">
        <v>65185.19921875</v>
      </c>
      <c r="AC456">
        <v>55863.92578125</v>
      </c>
      <c r="AD456">
        <v>67238.3046875</v>
      </c>
      <c r="AE456">
        <v>76569.0546875</v>
      </c>
      <c r="AF456">
        <v>14862.650390625</v>
      </c>
      <c r="AG456">
        <v>39948.87890625</v>
      </c>
      <c r="AH456">
        <v>23183.625</v>
      </c>
      <c r="AI456">
        <v>22955.400390625</v>
      </c>
      <c r="AK456">
        <f t="shared" si="21"/>
        <v>517850.4921875</v>
      </c>
      <c r="AM456" s="2"/>
    </row>
    <row r="457" spans="1:39" x14ac:dyDescent="0.45">
      <c r="A457">
        <v>205</v>
      </c>
      <c r="B457">
        <v>33882.078125</v>
      </c>
      <c r="C457">
        <v>17393.04296875</v>
      </c>
      <c r="D457">
        <v>17176.03125</v>
      </c>
      <c r="E457">
        <v>26326.43359375</v>
      </c>
      <c r="F457">
        <v>43036.984375</v>
      </c>
      <c r="G457">
        <v>18329.892578125</v>
      </c>
      <c r="H457">
        <v>66899.9140625</v>
      </c>
      <c r="I457">
        <v>61674.0078125</v>
      </c>
      <c r="J457">
        <v>67684.7109375</v>
      </c>
      <c r="K457">
        <v>84757.7734375</v>
      </c>
      <c r="L457">
        <v>13754.28515625</v>
      </c>
      <c r="M457">
        <v>43025.87890625</v>
      </c>
      <c r="N457">
        <v>27758.734375</v>
      </c>
      <c r="O457">
        <v>26878.693359375</v>
      </c>
      <c r="U457" s="2">
        <v>0.27083333333333331</v>
      </c>
      <c r="V457">
        <v>33882.078125</v>
      </c>
      <c r="W457">
        <v>17393.04296875</v>
      </c>
      <c r="X457">
        <v>17176.03125</v>
      </c>
      <c r="Y457">
        <v>26326.43359375</v>
      </c>
      <c r="Z457">
        <v>43036.984375</v>
      </c>
      <c r="AA457">
        <v>18329.892578125</v>
      </c>
      <c r="AB457">
        <v>66899.9140625</v>
      </c>
      <c r="AC457">
        <v>61674.0078125</v>
      </c>
      <c r="AD457">
        <v>67684.7109375</v>
      </c>
      <c r="AE457">
        <v>84757.7734375</v>
      </c>
      <c r="AF457">
        <v>13754.28515625</v>
      </c>
      <c r="AG457">
        <v>43025.87890625</v>
      </c>
      <c r="AH457">
        <v>27758.734375</v>
      </c>
      <c r="AI457">
        <v>26878.693359375</v>
      </c>
      <c r="AK457">
        <f t="shared" si="21"/>
        <v>548578.4609375</v>
      </c>
      <c r="AM457" s="2"/>
    </row>
    <row r="458" spans="1:39" x14ac:dyDescent="0.45">
      <c r="A458">
        <v>206</v>
      </c>
      <c r="B458">
        <v>32422.931640625</v>
      </c>
      <c r="C458">
        <v>18365.173828125</v>
      </c>
      <c r="D458">
        <v>18778.6015625</v>
      </c>
      <c r="E458">
        <v>25129.873046875</v>
      </c>
      <c r="F458">
        <v>43961.51171875</v>
      </c>
      <c r="G458">
        <v>21376.21875</v>
      </c>
      <c r="H458">
        <v>66125.4296875</v>
      </c>
      <c r="I458">
        <v>63864.78125</v>
      </c>
      <c r="J458">
        <v>67362.421875</v>
      </c>
      <c r="K458">
        <v>84466.6640625</v>
      </c>
      <c r="L458">
        <v>15244.763671875</v>
      </c>
      <c r="M458">
        <v>46490.9765625</v>
      </c>
      <c r="N458">
        <v>28678.99609375</v>
      </c>
      <c r="O458">
        <v>27832.9609375</v>
      </c>
      <c r="U458" s="2">
        <v>0.29166666666666669</v>
      </c>
      <c r="V458">
        <v>32422.931640625</v>
      </c>
      <c r="W458">
        <v>18365.173828125</v>
      </c>
      <c r="X458">
        <v>18778.6015625</v>
      </c>
      <c r="Y458">
        <v>25129.873046875</v>
      </c>
      <c r="Z458">
        <v>43961.51171875</v>
      </c>
      <c r="AA458">
        <v>21376.21875</v>
      </c>
      <c r="AB458">
        <v>66125.4296875</v>
      </c>
      <c r="AC458">
        <v>63864.78125</v>
      </c>
      <c r="AD458">
        <v>67362.421875</v>
      </c>
      <c r="AE458">
        <v>84466.6640625</v>
      </c>
      <c r="AF458">
        <v>15244.763671875</v>
      </c>
      <c r="AG458">
        <v>46490.9765625</v>
      </c>
      <c r="AH458">
        <v>28678.99609375</v>
      </c>
      <c r="AI458">
        <v>27832.9609375</v>
      </c>
      <c r="AK458">
        <f t="shared" si="21"/>
        <v>560101.3046875</v>
      </c>
      <c r="AM458" s="2"/>
    </row>
    <row r="459" spans="1:39" x14ac:dyDescent="0.45">
      <c r="A459">
        <v>207</v>
      </c>
      <c r="B459">
        <v>27295.544921875</v>
      </c>
      <c r="C459">
        <v>15972.1396484375</v>
      </c>
      <c r="D459">
        <v>18145.263671875</v>
      </c>
      <c r="E459">
        <v>26220.322265625</v>
      </c>
      <c r="F459">
        <v>35670.9921875</v>
      </c>
      <c r="G459">
        <v>19465.841796875</v>
      </c>
      <c r="H459">
        <v>58903.73828125</v>
      </c>
      <c r="I459">
        <v>59527.23046875</v>
      </c>
      <c r="J459">
        <v>58714.30859375</v>
      </c>
      <c r="K459">
        <v>74778.7578125</v>
      </c>
      <c r="L459">
        <v>13404.1884765625</v>
      </c>
      <c r="M459">
        <v>43313.94140625</v>
      </c>
      <c r="N459">
        <v>32643.962890625</v>
      </c>
      <c r="O459">
        <v>23619.615234375</v>
      </c>
      <c r="U459" s="2">
        <v>0.3125</v>
      </c>
      <c r="V459">
        <v>27295.544921875</v>
      </c>
      <c r="W459">
        <v>15972.1396484375</v>
      </c>
      <c r="X459">
        <v>18145.263671875</v>
      </c>
      <c r="Y459">
        <v>26220.322265625</v>
      </c>
      <c r="Z459">
        <v>35670.9921875</v>
      </c>
      <c r="AA459">
        <v>19465.841796875</v>
      </c>
      <c r="AB459">
        <v>58903.73828125</v>
      </c>
      <c r="AC459">
        <v>59527.23046875</v>
      </c>
      <c r="AD459">
        <v>58714.30859375</v>
      </c>
      <c r="AE459">
        <v>74778.7578125</v>
      </c>
      <c r="AF459">
        <v>13404.1884765625</v>
      </c>
      <c r="AG459">
        <v>43313.94140625</v>
      </c>
      <c r="AH459">
        <v>32643.962890625</v>
      </c>
      <c r="AI459">
        <v>23619.615234375</v>
      </c>
      <c r="AK459">
        <f t="shared" si="21"/>
        <v>507675.84765625</v>
      </c>
      <c r="AM459" s="2"/>
    </row>
    <row r="460" spans="1:39" x14ac:dyDescent="0.45">
      <c r="A460">
        <v>208</v>
      </c>
      <c r="B460">
        <v>22270.046875</v>
      </c>
      <c r="C460">
        <v>15305.697265625</v>
      </c>
      <c r="D460">
        <v>15118.4619140625</v>
      </c>
      <c r="E460">
        <v>16593.111328125</v>
      </c>
      <c r="F460">
        <v>28530.220703125</v>
      </c>
      <c r="G460">
        <v>20464.029296875</v>
      </c>
      <c r="H460">
        <v>48285.2578125</v>
      </c>
      <c r="I460">
        <v>50462.01953125</v>
      </c>
      <c r="J460">
        <v>47863.69140625</v>
      </c>
      <c r="K460">
        <v>60954.00390625</v>
      </c>
      <c r="L460">
        <v>12435.8837890625</v>
      </c>
      <c r="M460">
        <v>41058.6484375</v>
      </c>
      <c r="N460">
        <v>33568.20703125</v>
      </c>
      <c r="O460">
        <v>21938.48046875</v>
      </c>
      <c r="U460" s="2">
        <v>0.33333333333333331</v>
      </c>
      <c r="V460">
        <v>22270.046875</v>
      </c>
      <c r="W460">
        <v>15305.697265625</v>
      </c>
      <c r="X460">
        <v>15118.4619140625</v>
      </c>
      <c r="Y460">
        <v>16593.111328125</v>
      </c>
      <c r="Z460">
        <v>28530.220703125</v>
      </c>
      <c r="AA460">
        <v>20464.029296875</v>
      </c>
      <c r="AB460">
        <v>48285.2578125</v>
      </c>
      <c r="AC460">
        <v>50462.01953125</v>
      </c>
      <c r="AD460">
        <v>47863.69140625</v>
      </c>
      <c r="AE460">
        <v>60954.00390625</v>
      </c>
      <c r="AF460">
        <v>12435.8837890625</v>
      </c>
      <c r="AG460">
        <v>41058.6484375</v>
      </c>
      <c r="AH460">
        <v>33568.20703125</v>
      </c>
      <c r="AI460">
        <v>21938.48046875</v>
      </c>
      <c r="AK460">
        <f t="shared" si="21"/>
        <v>434847.759765625</v>
      </c>
      <c r="AM460" s="2"/>
    </row>
    <row r="461" spans="1:39" x14ac:dyDescent="0.45">
      <c r="A461">
        <v>209</v>
      </c>
      <c r="B461">
        <v>14633.19921875</v>
      </c>
      <c r="C461">
        <v>7705.8037109375</v>
      </c>
      <c r="D461">
        <v>7483.66357421875</v>
      </c>
      <c r="E461">
        <v>5109.591796875</v>
      </c>
      <c r="F461">
        <v>14607.1982421875</v>
      </c>
      <c r="G461">
        <v>12005.931640625</v>
      </c>
      <c r="H461">
        <v>26758.2890625</v>
      </c>
      <c r="I461">
        <v>22838.15234375</v>
      </c>
      <c r="J461">
        <v>26399.611328125</v>
      </c>
      <c r="K461">
        <v>30431.68359375</v>
      </c>
      <c r="L461">
        <v>8456.6376953125</v>
      </c>
      <c r="M461">
        <v>21424.4140625</v>
      </c>
      <c r="N461">
        <v>32151.890625</v>
      </c>
      <c r="O461">
        <v>13357.5068359375</v>
      </c>
      <c r="U461" s="2">
        <v>0.35416666666666669</v>
      </c>
      <c r="V461">
        <v>14633.19921875</v>
      </c>
      <c r="W461">
        <v>7705.8037109375</v>
      </c>
      <c r="X461">
        <v>7483.66357421875</v>
      </c>
      <c r="Y461">
        <v>5109.591796875</v>
      </c>
      <c r="Z461">
        <v>14607.1982421875</v>
      </c>
      <c r="AA461">
        <v>12005.931640625</v>
      </c>
      <c r="AB461">
        <v>26758.2890625</v>
      </c>
      <c r="AC461">
        <v>22838.15234375</v>
      </c>
      <c r="AD461">
        <v>26399.611328125</v>
      </c>
      <c r="AE461">
        <v>30431.68359375</v>
      </c>
      <c r="AF461">
        <v>8456.6376953125</v>
      </c>
      <c r="AG461">
        <v>21424.4140625</v>
      </c>
      <c r="AH461">
        <v>32151.890625</v>
      </c>
      <c r="AI461">
        <v>13357.5068359375</v>
      </c>
      <c r="AK461">
        <f t="shared" si="21"/>
        <v>243363.57373046875</v>
      </c>
      <c r="AM461" s="2"/>
    </row>
    <row r="462" spans="1:39" x14ac:dyDescent="0.45">
      <c r="A462">
        <v>210</v>
      </c>
      <c r="B462">
        <v>10064.7412109375</v>
      </c>
      <c r="C462">
        <v>1302.48413085937</v>
      </c>
      <c r="D462">
        <v>637.54095458984295</v>
      </c>
      <c r="E462">
        <v>-4466.392578125</v>
      </c>
      <c r="F462">
        <v>9215.7509765625</v>
      </c>
      <c r="G462">
        <v>5439.05517578125</v>
      </c>
      <c r="H462">
        <v>11689.1123046875</v>
      </c>
      <c r="I462">
        <v>-958.27233886718705</v>
      </c>
      <c r="J462">
        <v>12415.3291015625</v>
      </c>
      <c r="K462">
        <v>8491.666015625</v>
      </c>
      <c r="L462">
        <v>2144.67041015625</v>
      </c>
      <c r="M462">
        <v>7342.82568359375</v>
      </c>
      <c r="N462">
        <v>35478.625</v>
      </c>
      <c r="O462">
        <v>5648.63525390625</v>
      </c>
      <c r="U462" s="2">
        <v>0.375</v>
      </c>
      <c r="V462">
        <v>10064.7412109375</v>
      </c>
      <c r="W462">
        <v>1302.48413085937</v>
      </c>
      <c r="X462">
        <v>637.54095458984295</v>
      </c>
      <c r="Y462">
        <v>-4466.392578125</v>
      </c>
      <c r="Z462">
        <v>9215.7509765625</v>
      </c>
      <c r="AA462">
        <v>5439.05517578125</v>
      </c>
      <c r="AB462">
        <v>11689.1123046875</v>
      </c>
      <c r="AC462">
        <v>-958.27233886718705</v>
      </c>
      <c r="AD462">
        <v>12415.3291015625</v>
      </c>
      <c r="AE462">
        <v>8491.666015625</v>
      </c>
      <c r="AF462">
        <v>2144.67041015625</v>
      </c>
      <c r="AG462">
        <v>7342.82568359375</v>
      </c>
      <c r="AH462">
        <v>35478.625</v>
      </c>
      <c r="AI462">
        <v>5648.63525390625</v>
      </c>
      <c r="AK462">
        <f t="shared" si="21"/>
        <v>104445.77130126953</v>
      </c>
      <c r="AM462" s="2"/>
    </row>
    <row r="463" spans="1:39" x14ac:dyDescent="0.45">
      <c r="A463">
        <v>211</v>
      </c>
      <c r="B463">
        <v>3352.80859375</v>
      </c>
      <c r="C463">
        <v>-5058.68310546875</v>
      </c>
      <c r="D463">
        <v>-3062.62524414062</v>
      </c>
      <c r="E463">
        <v>-12940.1044921875</v>
      </c>
      <c r="F463">
        <v>-950.335205078125</v>
      </c>
      <c r="G463">
        <v>-1196.23620605468</v>
      </c>
      <c r="H463">
        <v>-4080.95190429687</v>
      </c>
      <c r="I463">
        <v>-22325.970703125</v>
      </c>
      <c r="J463">
        <v>-3932.9521484375</v>
      </c>
      <c r="K463">
        <v>-16829.32421875</v>
      </c>
      <c r="L463">
        <v>-3499.09741210937</v>
      </c>
      <c r="M463">
        <v>-4687.51123046875</v>
      </c>
      <c r="N463">
        <v>31895.732421875</v>
      </c>
      <c r="O463">
        <v>-4302.47607421875</v>
      </c>
      <c r="U463" s="2">
        <v>0.39583333333333331</v>
      </c>
      <c r="V463">
        <v>3352.80859375</v>
      </c>
      <c r="W463">
        <v>-5058.68310546875</v>
      </c>
      <c r="X463">
        <v>-3062.62524414062</v>
      </c>
      <c r="Y463">
        <v>-12940.1044921875</v>
      </c>
      <c r="Z463">
        <v>-950.335205078125</v>
      </c>
      <c r="AA463">
        <v>-1196.23620605468</v>
      </c>
      <c r="AB463">
        <v>-4080.95190429687</v>
      </c>
      <c r="AC463">
        <v>-22325.970703125</v>
      </c>
      <c r="AD463">
        <v>-3932.9521484375</v>
      </c>
      <c r="AE463">
        <v>-16829.32421875</v>
      </c>
      <c r="AF463">
        <v>-3499.09741210937</v>
      </c>
      <c r="AG463">
        <v>-4687.51123046875</v>
      </c>
      <c r="AH463">
        <v>31895.732421875</v>
      </c>
      <c r="AI463">
        <v>-4302.47607421875</v>
      </c>
      <c r="AK463">
        <f t="shared" si="21"/>
        <v>-47617.726928710923</v>
      </c>
      <c r="AM463" s="2"/>
    </row>
    <row r="464" spans="1:39" x14ac:dyDescent="0.45">
      <c r="A464">
        <v>212</v>
      </c>
      <c r="B464">
        <v>-11137.7939453125</v>
      </c>
      <c r="C464">
        <v>-10937.6015625</v>
      </c>
      <c r="D464">
        <v>-8132.7021484375</v>
      </c>
      <c r="E464">
        <v>-17943.61328125</v>
      </c>
      <c r="F464">
        <v>-20775.64453125</v>
      </c>
      <c r="G464">
        <v>-7045.3994140625</v>
      </c>
      <c r="H464">
        <v>-28154.572265625</v>
      </c>
      <c r="I464">
        <v>-44594.07421875</v>
      </c>
      <c r="J464">
        <v>-27342.607421875</v>
      </c>
      <c r="K464">
        <v>-48681.62890625</v>
      </c>
      <c r="L464">
        <v>-9681.033203125</v>
      </c>
      <c r="M464">
        <v>-20148.2109375</v>
      </c>
      <c r="N464">
        <v>29763.193359375</v>
      </c>
      <c r="O464">
        <v>-17875.9609375</v>
      </c>
      <c r="U464" s="2">
        <v>0.41666666666666669</v>
      </c>
      <c r="V464">
        <v>-11137.7939453125</v>
      </c>
      <c r="W464">
        <v>-10937.6015625</v>
      </c>
      <c r="X464">
        <v>-8132.7021484375</v>
      </c>
      <c r="Y464">
        <v>-17943.61328125</v>
      </c>
      <c r="Z464">
        <v>-20775.64453125</v>
      </c>
      <c r="AA464">
        <v>-7045.3994140625</v>
      </c>
      <c r="AB464">
        <v>-28154.572265625</v>
      </c>
      <c r="AC464">
        <v>-44594.07421875</v>
      </c>
      <c r="AD464">
        <v>-27342.607421875</v>
      </c>
      <c r="AE464">
        <v>-48681.62890625</v>
      </c>
      <c r="AF464">
        <v>-9681.033203125</v>
      </c>
      <c r="AG464">
        <v>-20148.2109375</v>
      </c>
      <c r="AH464">
        <v>29763.193359375</v>
      </c>
      <c r="AI464">
        <v>-17875.9609375</v>
      </c>
      <c r="AK464">
        <f t="shared" si="21"/>
        <v>-242687.6494140625</v>
      </c>
      <c r="AM464" s="2"/>
    </row>
    <row r="465" spans="1:39" x14ac:dyDescent="0.45">
      <c r="A465">
        <v>213</v>
      </c>
      <c r="B465">
        <v>-21798.60546875</v>
      </c>
      <c r="C465">
        <v>-15644.33203125</v>
      </c>
      <c r="D465">
        <v>-17722.669921875</v>
      </c>
      <c r="E465">
        <v>-28249.021484375</v>
      </c>
      <c r="F465">
        <v>-35202.71484375</v>
      </c>
      <c r="G465">
        <v>-14174.7998046875</v>
      </c>
      <c r="H465">
        <v>-52926.2734375</v>
      </c>
      <c r="I465">
        <v>-69220.984375</v>
      </c>
      <c r="J465">
        <v>-50768.25390625</v>
      </c>
      <c r="K465">
        <v>-80131.8671875</v>
      </c>
      <c r="L465">
        <v>-10917.4296875</v>
      </c>
      <c r="M465">
        <v>-40324.44140625</v>
      </c>
      <c r="N465">
        <v>26990.515625</v>
      </c>
      <c r="O465">
        <v>-27925.072265625</v>
      </c>
      <c r="U465" s="2">
        <v>0.4375</v>
      </c>
      <c r="V465">
        <v>-21798.60546875</v>
      </c>
      <c r="W465">
        <v>-15644.33203125</v>
      </c>
      <c r="X465">
        <v>-17722.669921875</v>
      </c>
      <c r="Y465">
        <v>-28249.021484375</v>
      </c>
      <c r="Z465">
        <v>-35202.71484375</v>
      </c>
      <c r="AA465">
        <v>-14174.7998046875</v>
      </c>
      <c r="AB465">
        <v>-52926.2734375</v>
      </c>
      <c r="AC465">
        <v>-69220.984375</v>
      </c>
      <c r="AD465">
        <v>-50768.25390625</v>
      </c>
      <c r="AE465">
        <v>-80131.8671875</v>
      </c>
      <c r="AF465">
        <v>-10917.4296875</v>
      </c>
      <c r="AG465">
        <v>-40324.44140625</v>
      </c>
      <c r="AH465">
        <v>26990.515625</v>
      </c>
      <c r="AI465">
        <v>-27925.072265625</v>
      </c>
      <c r="AK465">
        <f t="shared" si="21"/>
        <v>-438015.9501953125</v>
      </c>
      <c r="AM465" s="2"/>
    </row>
    <row r="466" spans="1:39" x14ac:dyDescent="0.45">
      <c r="A466">
        <v>214</v>
      </c>
      <c r="B466">
        <v>-29398.701171875</v>
      </c>
      <c r="C466">
        <v>-16941.21484375</v>
      </c>
      <c r="D466">
        <v>-23087.861328125</v>
      </c>
      <c r="E466">
        <v>-30525.677734375</v>
      </c>
      <c r="F466">
        <v>-45045.8671875</v>
      </c>
      <c r="G466">
        <v>-16299.2275390625</v>
      </c>
      <c r="H466">
        <v>-68103.8203125</v>
      </c>
      <c r="I466">
        <v>-79526.546875</v>
      </c>
      <c r="J466">
        <v>-63093.21484375</v>
      </c>
      <c r="K466">
        <v>-94876.7890625</v>
      </c>
      <c r="L466">
        <v>-14854.6474609375</v>
      </c>
      <c r="M466">
        <v>-46474.95703125</v>
      </c>
      <c r="N466">
        <v>28674.91796875</v>
      </c>
      <c r="O466">
        <v>-33968.93359375</v>
      </c>
      <c r="U466" s="2">
        <v>0.45833333333333331</v>
      </c>
      <c r="V466">
        <v>-29398.701171875</v>
      </c>
      <c r="W466">
        <v>-16941.21484375</v>
      </c>
      <c r="X466">
        <v>-23087.861328125</v>
      </c>
      <c r="Y466">
        <v>-30525.677734375</v>
      </c>
      <c r="Z466">
        <v>-45045.8671875</v>
      </c>
      <c r="AA466">
        <v>-16299.2275390625</v>
      </c>
      <c r="AB466">
        <v>-68103.8203125</v>
      </c>
      <c r="AC466">
        <v>-79526.546875</v>
      </c>
      <c r="AD466">
        <v>-63093.21484375</v>
      </c>
      <c r="AE466">
        <v>-94876.7890625</v>
      </c>
      <c r="AF466">
        <v>-14854.6474609375</v>
      </c>
      <c r="AG466">
        <v>-46474.95703125</v>
      </c>
      <c r="AH466">
        <v>28674.91796875</v>
      </c>
      <c r="AI466">
        <v>-33968.93359375</v>
      </c>
      <c r="AK466">
        <f t="shared" si="21"/>
        <v>-533522.541015625</v>
      </c>
      <c r="AM466" s="2"/>
    </row>
    <row r="467" spans="1:39" x14ac:dyDescent="0.45">
      <c r="A467">
        <v>215</v>
      </c>
      <c r="B467">
        <v>-23802.330078125</v>
      </c>
      <c r="C467">
        <v>-17312.5859375</v>
      </c>
      <c r="D467">
        <v>-24105.36328125</v>
      </c>
      <c r="E467">
        <v>-32143.384765625</v>
      </c>
      <c r="F467">
        <v>-43013.62890625</v>
      </c>
      <c r="G467">
        <v>-24008.783203125</v>
      </c>
      <c r="H467">
        <v>-60710.10546875</v>
      </c>
      <c r="I467">
        <v>-77547.703125</v>
      </c>
      <c r="J467">
        <v>-60518.5859375</v>
      </c>
      <c r="K467">
        <v>-85574.8984375</v>
      </c>
      <c r="L467">
        <v>-19272.044921875</v>
      </c>
      <c r="M467">
        <v>-49596</v>
      </c>
      <c r="N467">
        <v>40797.84765625</v>
      </c>
      <c r="O467">
        <v>-26178.4453125</v>
      </c>
      <c r="U467" s="2">
        <v>0.47916666666666669</v>
      </c>
      <c r="V467">
        <v>-23802.330078125</v>
      </c>
      <c r="W467">
        <v>-17312.5859375</v>
      </c>
      <c r="X467">
        <v>-24105.36328125</v>
      </c>
      <c r="Y467">
        <v>-32143.384765625</v>
      </c>
      <c r="Z467">
        <v>-43013.62890625</v>
      </c>
      <c r="AA467">
        <v>-24008.783203125</v>
      </c>
      <c r="AB467">
        <v>-60710.10546875</v>
      </c>
      <c r="AC467">
        <v>-77547.703125</v>
      </c>
      <c r="AD467">
        <v>-60518.5859375</v>
      </c>
      <c r="AE467">
        <v>-85574.8984375</v>
      </c>
      <c r="AF467">
        <v>-19272.044921875</v>
      </c>
      <c r="AG467">
        <v>-49596</v>
      </c>
      <c r="AH467">
        <v>40797.84765625</v>
      </c>
      <c r="AI467">
        <v>-26178.4453125</v>
      </c>
      <c r="AK467">
        <f t="shared" si="21"/>
        <v>-502986.01171875</v>
      </c>
      <c r="AM467" s="2"/>
    </row>
    <row r="468" spans="1:39" x14ac:dyDescent="0.45">
      <c r="A468">
        <v>216</v>
      </c>
      <c r="B468">
        <v>-20333.033203125</v>
      </c>
      <c r="C468">
        <v>-20396.232421875</v>
      </c>
      <c r="D468">
        <v>-22862.71875</v>
      </c>
      <c r="E468">
        <v>-30985.875</v>
      </c>
      <c r="F468">
        <v>-43307.9609375</v>
      </c>
      <c r="G468">
        <v>-16495.271484375</v>
      </c>
      <c r="H468">
        <v>-63694.7578125</v>
      </c>
      <c r="I468">
        <v>-71451.515625</v>
      </c>
      <c r="J468">
        <v>-62580.7734375</v>
      </c>
      <c r="K468">
        <v>-79119.578125</v>
      </c>
      <c r="L468">
        <v>-20524.44140625</v>
      </c>
      <c r="M468">
        <v>-46661.0546875</v>
      </c>
      <c r="N468">
        <v>44366.69921875</v>
      </c>
      <c r="O468">
        <v>-29561.537109375</v>
      </c>
      <c r="U468" s="2">
        <v>0.5</v>
      </c>
      <c r="V468">
        <v>-20333.033203125</v>
      </c>
      <c r="W468">
        <v>-20396.232421875</v>
      </c>
      <c r="X468">
        <v>-22862.71875</v>
      </c>
      <c r="Y468">
        <v>-30985.875</v>
      </c>
      <c r="Z468">
        <v>-43307.9609375</v>
      </c>
      <c r="AA468">
        <v>-16495.271484375</v>
      </c>
      <c r="AB468">
        <v>-63694.7578125</v>
      </c>
      <c r="AC468">
        <v>-71451.515625</v>
      </c>
      <c r="AD468">
        <v>-62580.7734375</v>
      </c>
      <c r="AE468">
        <v>-79119.578125</v>
      </c>
      <c r="AF468">
        <v>-20524.44140625</v>
      </c>
      <c r="AG468">
        <v>-46661.0546875</v>
      </c>
      <c r="AH468">
        <v>44366.69921875</v>
      </c>
      <c r="AI468">
        <v>-29561.537109375</v>
      </c>
      <c r="AK468">
        <f t="shared" si="21"/>
        <v>-483608.05078125</v>
      </c>
      <c r="AM468" s="2"/>
    </row>
    <row r="469" spans="1:39" x14ac:dyDescent="0.45">
      <c r="A469">
        <v>217</v>
      </c>
      <c r="B469">
        <v>-18373.86328125</v>
      </c>
      <c r="C469">
        <v>-16152.533203125</v>
      </c>
      <c r="D469">
        <v>-16828.541015625</v>
      </c>
      <c r="E469">
        <v>-18805.763671875</v>
      </c>
      <c r="F469">
        <v>-34874.21875</v>
      </c>
      <c r="G469">
        <v>-13854.7451171875</v>
      </c>
      <c r="H469">
        <v>-54786.72265625</v>
      </c>
      <c r="I469">
        <v>-41230.71875</v>
      </c>
      <c r="J469">
        <v>-42822.37109375</v>
      </c>
      <c r="K469">
        <v>-49367.7890625</v>
      </c>
      <c r="L469">
        <v>-14640.5849609375</v>
      </c>
      <c r="M469">
        <v>-40303.02734375</v>
      </c>
      <c r="N469">
        <v>54437.19140625</v>
      </c>
      <c r="O469">
        <v>-12982.1953125</v>
      </c>
      <c r="U469" s="2">
        <v>0.52083333333333337</v>
      </c>
      <c r="V469">
        <v>-18373.86328125</v>
      </c>
      <c r="W469">
        <v>-16152.533203125</v>
      </c>
      <c r="X469">
        <v>-16828.541015625</v>
      </c>
      <c r="Y469">
        <v>-18805.763671875</v>
      </c>
      <c r="Z469">
        <v>-34874.21875</v>
      </c>
      <c r="AA469">
        <v>-13854.7451171875</v>
      </c>
      <c r="AB469">
        <v>-54786.72265625</v>
      </c>
      <c r="AC469">
        <v>-41230.71875</v>
      </c>
      <c r="AD469">
        <v>-42822.37109375</v>
      </c>
      <c r="AE469">
        <v>-49367.7890625</v>
      </c>
      <c r="AF469">
        <v>-14640.5849609375</v>
      </c>
      <c r="AG469">
        <v>-40303.02734375</v>
      </c>
      <c r="AH469">
        <v>54437.19140625</v>
      </c>
      <c r="AI469">
        <v>-12982.1953125</v>
      </c>
      <c r="AK469">
        <f t="shared" si="21"/>
        <v>-320585.8828125</v>
      </c>
      <c r="AM469" s="2"/>
    </row>
    <row r="470" spans="1:39" x14ac:dyDescent="0.45">
      <c r="A470">
        <v>218</v>
      </c>
      <c r="B470">
        <v>-20486.390625</v>
      </c>
      <c r="C470">
        <v>-8314.890625</v>
      </c>
      <c r="D470">
        <v>-25432.443359375</v>
      </c>
      <c r="E470">
        <v>-20152.091796875</v>
      </c>
      <c r="F470">
        <v>-34345.5546875</v>
      </c>
      <c r="G470">
        <v>-20145.9921875</v>
      </c>
      <c r="H470">
        <v>-52388.14453125</v>
      </c>
      <c r="I470">
        <v>-66765.8671875</v>
      </c>
      <c r="J470">
        <v>-38803.390625</v>
      </c>
      <c r="K470">
        <v>-69329.6953125</v>
      </c>
      <c r="L470">
        <v>-6582.06103515625</v>
      </c>
      <c r="M470">
        <v>-54151.4921875</v>
      </c>
      <c r="N470">
        <v>47911.59765625</v>
      </c>
      <c r="O470">
        <v>-23975.744140625</v>
      </c>
      <c r="U470" s="2">
        <v>0.54166666666666663</v>
      </c>
      <c r="V470">
        <v>-20486.390625</v>
      </c>
      <c r="W470">
        <v>-8314.890625</v>
      </c>
      <c r="X470">
        <v>-25432.443359375</v>
      </c>
      <c r="Y470">
        <v>-20152.091796875</v>
      </c>
      <c r="Z470">
        <v>-34345.5546875</v>
      </c>
      <c r="AA470">
        <v>-20145.9921875</v>
      </c>
      <c r="AB470">
        <v>-52388.14453125</v>
      </c>
      <c r="AC470">
        <v>-66765.8671875</v>
      </c>
      <c r="AD470">
        <v>-38803.390625</v>
      </c>
      <c r="AE470">
        <v>-69329.6953125</v>
      </c>
      <c r="AF470">
        <v>-6582.06103515625</v>
      </c>
      <c r="AG470">
        <v>-54151.4921875</v>
      </c>
      <c r="AH470">
        <v>47911.59765625</v>
      </c>
      <c r="AI470">
        <v>-23975.744140625</v>
      </c>
      <c r="AK470">
        <f t="shared" si="21"/>
        <v>-392962.16064453125</v>
      </c>
      <c r="AM470" s="2"/>
    </row>
    <row r="471" spans="1:39" x14ac:dyDescent="0.45">
      <c r="A471">
        <v>219</v>
      </c>
      <c r="B471">
        <v>-24092.865234375</v>
      </c>
      <c r="C471">
        <v>-5531.37841796875</v>
      </c>
      <c r="D471">
        <v>-27252.5</v>
      </c>
      <c r="E471">
        <v>-22153.044921875</v>
      </c>
      <c r="F471">
        <v>-35644.76171875</v>
      </c>
      <c r="G471">
        <v>-18969.765625</v>
      </c>
      <c r="H471">
        <v>-54450.63671875</v>
      </c>
      <c r="I471">
        <v>-64330.97265625</v>
      </c>
      <c r="J471">
        <v>-43476.578125</v>
      </c>
      <c r="K471">
        <v>-69261.75</v>
      </c>
      <c r="L471">
        <v>-6662.0830078125</v>
      </c>
      <c r="M471">
        <v>-48611.72265625</v>
      </c>
      <c r="N471">
        <v>53477.01953125</v>
      </c>
      <c r="O471">
        <v>-18742.060546875</v>
      </c>
      <c r="U471" s="2">
        <v>0.5625</v>
      </c>
      <c r="V471">
        <v>-24092.865234375</v>
      </c>
      <c r="W471">
        <v>-5531.37841796875</v>
      </c>
      <c r="X471">
        <v>-27252.5</v>
      </c>
      <c r="Y471">
        <v>-22153.044921875</v>
      </c>
      <c r="Z471">
        <v>-35644.76171875</v>
      </c>
      <c r="AA471">
        <v>-18969.765625</v>
      </c>
      <c r="AB471">
        <v>-54450.63671875</v>
      </c>
      <c r="AC471">
        <v>-64330.97265625</v>
      </c>
      <c r="AD471">
        <v>-43476.578125</v>
      </c>
      <c r="AE471">
        <v>-69261.75</v>
      </c>
      <c r="AF471">
        <v>-6662.0830078125</v>
      </c>
      <c r="AG471">
        <v>-48611.72265625</v>
      </c>
      <c r="AH471">
        <v>53477.01953125</v>
      </c>
      <c r="AI471">
        <v>-18742.060546875</v>
      </c>
      <c r="AK471">
        <f t="shared" si="21"/>
        <v>-385703.10009765625</v>
      </c>
      <c r="AM471" s="2"/>
    </row>
    <row r="472" spans="1:39" x14ac:dyDescent="0.45">
      <c r="A472">
        <v>220</v>
      </c>
      <c r="B472">
        <v>-18839.294921875</v>
      </c>
      <c r="C472">
        <v>-1622.29089355468</v>
      </c>
      <c r="D472">
        <v>-26158.55078125</v>
      </c>
      <c r="E472">
        <v>-22242.80859375</v>
      </c>
      <c r="F472">
        <v>-27681.751953125</v>
      </c>
      <c r="G472">
        <v>-17281.951171875</v>
      </c>
      <c r="H472">
        <v>-45466.4296875</v>
      </c>
      <c r="I472">
        <v>-65299.328125</v>
      </c>
      <c r="J472">
        <v>-33674.05859375</v>
      </c>
      <c r="K472">
        <v>-67404.40625</v>
      </c>
      <c r="L472">
        <v>-2058.64770507812</v>
      </c>
      <c r="M472">
        <v>-47251.73828125</v>
      </c>
      <c r="N472">
        <v>47365.3359375</v>
      </c>
      <c r="O472">
        <v>-20994.779296875</v>
      </c>
      <c r="U472" s="2">
        <v>0.58333333333333337</v>
      </c>
      <c r="V472">
        <v>-18839.294921875</v>
      </c>
      <c r="W472">
        <v>-1622.29089355468</v>
      </c>
      <c r="X472">
        <v>-26158.55078125</v>
      </c>
      <c r="Y472">
        <v>-22242.80859375</v>
      </c>
      <c r="Z472">
        <v>-27681.751953125</v>
      </c>
      <c r="AA472">
        <v>-17281.951171875</v>
      </c>
      <c r="AB472">
        <v>-45466.4296875</v>
      </c>
      <c r="AC472">
        <v>-65299.328125</v>
      </c>
      <c r="AD472">
        <v>-33674.05859375</v>
      </c>
      <c r="AE472">
        <v>-67404.40625</v>
      </c>
      <c r="AF472">
        <v>-2058.64770507812</v>
      </c>
      <c r="AG472">
        <v>-47251.73828125</v>
      </c>
      <c r="AH472">
        <v>47365.3359375</v>
      </c>
      <c r="AI472">
        <v>-20994.779296875</v>
      </c>
      <c r="AK472">
        <f t="shared" si="21"/>
        <v>-348610.70031738281</v>
      </c>
      <c r="AM472" s="2"/>
    </row>
    <row r="473" spans="1:39" x14ac:dyDescent="0.45">
      <c r="A473">
        <v>221</v>
      </c>
      <c r="B473">
        <v>-4001.03686523437</v>
      </c>
      <c r="C473">
        <v>1732.4267578125</v>
      </c>
      <c r="D473">
        <v>-13125.79296875</v>
      </c>
      <c r="E473">
        <v>-2248.69775390625</v>
      </c>
      <c r="F473">
        <v>-18404.732421875</v>
      </c>
      <c r="G473">
        <v>-11058.197265625</v>
      </c>
      <c r="H473">
        <v>-18082.20703125</v>
      </c>
      <c r="I473">
        <v>-34236.234375</v>
      </c>
      <c r="J473">
        <v>-1710.41467285156</v>
      </c>
      <c r="K473">
        <v>-29883.939453125</v>
      </c>
      <c r="L473">
        <v>-1872.58740234375</v>
      </c>
      <c r="M473">
        <v>-24275.83984375</v>
      </c>
      <c r="N473">
        <v>49381.98046875</v>
      </c>
      <c r="O473">
        <v>-8744.8232421875</v>
      </c>
      <c r="U473" s="2">
        <v>0.60416666666666663</v>
      </c>
      <c r="V473">
        <v>-4001.03686523437</v>
      </c>
      <c r="W473">
        <v>1732.4267578125</v>
      </c>
      <c r="X473">
        <v>-13125.79296875</v>
      </c>
      <c r="Y473">
        <v>-2248.69775390625</v>
      </c>
      <c r="Z473">
        <v>-18404.732421875</v>
      </c>
      <c r="AA473">
        <v>-11058.197265625</v>
      </c>
      <c r="AB473">
        <v>-18082.20703125</v>
      </c>
      <c r="AC473">
        <v>-34236.234375</v>
      </c>
      <c r="AD473">
        <v>-1710.41467285156</v>
      </c>
      <c r="AE473">
        <v>-29883.939453125</v>
      </c>
      <c r="AF473">
        <v>-1872.58740234375</v>
      </c>
      <c r="AG473">
        <v>-24275.83984375</v>
      </c>
      <c r="AH473">
        <v>49381.98046875</v>
      </c>
      <c r="AI473">
        <v>-8744.8232421875</v>
      </c>
      <c r="AK473">
        <f t="shared" si="21"/>
        <v>-116530.09606933594</v>
      </c>
      <c r="AM473" s="2"/>
    </row>
    <row r="474" spans="1:39" x14ac:dyDescent="0.45">
      <c r="A474">
        <v>222</v>
      </c>
      <c r="B474">
        <v>-6157.2744140625</v>
      </c>
      <c r="C474">
        <v>14383.12109375</v>
      </c>
      <c r="D474">
        <v>-6722.0654296875</v>
      </c>
      <c r="E474">
        <v>-2268.70288085937</v>
      </c>
      <c r="F474">
        <v>-3027.1064453125</v>
      </c>
      <c r="G474">
        <v>-8765.7197265625</v>
      </c>
      <c r="H474">
        <v>1236.28698730468</v>
      </c>
      <c r="I474">
        <v>-10745.8369140625</v>
      </c>
      <c r="J474">
        <v>11516.7822265625</v>
      </c>
      <c r="K474">
        <v>-10938.146484375</v>
      </c>
      <c r="L474">
        <v>8808.7587890625</v>
      </c>
      <c r="M474">
        <v>-10675.4443359375</v>
      </c>
      <c r="N474">
        <v>55863.5</v>
      </c>
      <c r="O474">
        <v>5417.74755859375</v>
      </c>
      <c r="U474" s="2">
        <v>0.625</v>
      </c>
      <c r="V474">
        <v>-6157.2744140625</v>
      </c>
      <c r="W474">
        <v>14383.12109375</v>
      </c>
      <c r="X474">
        <v>-6722.0654296875</v>
      </c>
      <c r="Y474">
        <v>-2268.70288085937</v>
      </c>
      <c r="Z474">
        <v>-3027.1064453125</v>
      </c>
      <c r="AA474">
        <v>-8765.7197265625</v>
      </c>
      <c r="AB474">
        <v>1236.28698730468</v>
      </c>
      <c r="AC474">
        <v>-10745.8369140625</v>
      </c>
      <c r="AD474">
        <v>11516.7822265625</v>
      </c>
      <c r="AE474">
        <v>-10938.146484375</v>
      </c>
      <c r="AF474">
        <v>8808.7587890625</v>
      </c>
      <c r="AG474">
        <v>-10675.4443359375</v>
      </c>
      <c r="AH474">
        <v>55863.5</v>
      </c>
      <c r="AI474">
        <v>5417.74755859375</v>
      </c>
      <c r="AK474">
        <f t="shared" si="21"/>
        <v>37925.900024414063</v>
      </c>
      <c r="AM474" s="2"/>
    </row>
    <row r="475" spans="1:39" x14ac:dyDescent="0.45">
      <c r="A475">
        <v>223</v>
      </c>
      <c r="B475">
        <v>6200.52001953125</v>
      </c>
      <c r="C475">
        <v>18770.990234375</v>
      </c>
      <c r="D475">
        <v>1715.76721191406</v>
      </c>
      <c r="E475">
        <v>10395.2705078125</v>
      </c>
      <c r="F475">
        <v>16317.841796875</v>
      </c>
      <c r="G475">
        <v>-254.05032348632801</v>
      </c>
      <c r="H475">
        <v>29332.830078125</v>
      </c>
      <c r="I475">
        <v>15603.57421875</v>
      </c>
      <c r="J475">
        <v>34974.51171875</v>
      </c>
      <c r="K475">
        <v>23918.73828125</v>
      </c>
      <c r="L475">
        <v>10417.9423828125</v>
      </c>
      <c r="M475">
        <v>13394.3271484375</v>
      </c>
      <c r="N475">
        <v>61410.953125</v>
      </c>
      <c r="O475">
        <v>11353.6669921875</v>
      </c>
      <c r="U475" s="2">
        <v>0.64583333333333337</v>
      </c>
      <c r="V475">
        <v>6200.52001953125</v>
      </c>
      <c r="W475">
        <v>18770.990234375</v>
      </c>
      <c r="X475">
        <v>1715.76721191406</v>
      </c>
      <c r="Y475">
        <v>10395.2705078125</v>
      </c>
      <c r="Z475">
        <v>16317.841796875</v>
      </c>
      <c r="AA475">
        <v>-254.05032348632801</v>
      </c>
      <c r="AB475">
        <v>29332.830078125</v>
      </c>
      <c r="AC475">
        <v>15603.57421875</v>
      </c>
      <c r="AD475">
        <v>34974.51171875</v>
      </c>
      <c r="AE475">
        <v>23918.73828125</v>
      </c>
      <c r="AF475">
        <v>10417.9423828125</v>
      </c>
      <c r="AG475">
        <v>13394.3271484375</v>
      </c>
      <c r="AH475">
        <v>61410.953125</v>
      </c>
      <c r="AI475">
        <v>11353.6669921875</v>
      </c>
      <c r="AK475">
        <f t="shared" si="21"/>
        <v>253552.88339233398</v>
      </c>
      <c r="AM475" s="2"/>
    </row>
    <row r="476" spans="1:39" x14ac:dyDescent="0.45">
      <c r="A476">
        <v>224</v>
      </c>
      <c r="B476">
        <v>8155.70068359375</v>
      </c>
      <c r="C476">
        <v>23063.35546875</v>
      </c>
      <c r="D476">
        <v>3477.21142578125</v>
      </c>
      <c r="E476">
        <v>14011.3173828125</v>
      </c>
      <c r="F476">
        <v>17177.98828125</v>
      </c>
      <c r="G476">
        <v>9943.947265625</v>
      </c>
      <c r="H476">
        <v>35396.23046875</v>
      </c>
      <c r="I476">
        <v>22690.875</v>
      </c>
      <c r="J476">
        <v>37118.98828125</v>
      </c>
      <c r="K476">
        <v>30197.912109375</v>
      </c>
      <c r="L476">
        <v>8398.626953125</v>
      </c>
      <c r="M476">
        <v>28613.224609375</v>
      </c>
      <c r="N476">
        <v>61398.875</v>
      </c>
      <c r="O476">
        <v>7188.3173828125</v>
      </c>
      <c r="U476" s="2">
        <v>0.66666666666666663</v>
      </c>
      <c r="V476">
        <v>8155.70068359375</v>
      </c>
      <c r="W476">
        <v>23063.35546875</v>
      </c>
      <c r="X476">
        <v>3477.21142578125</v>
      </c>
      <c r="Y476">
        <v>14011.3173828125</v>
      </c>
      <c r="Z476">
        <v>17177.98828125</v>
      </c>
      <c r="AA476">
        <v>9943.947265625</v>
      </c>
      <c r="AB476">
        <v>35396.23046875</v>
      </c>
      <c r="AC476">
        <v>22690.875</v>
      </c>
      <c r="AD476">
        <v>37118.98828125</v>
      </c>
      <c r="AE476">
        <v>30197.912109375</v>
      </c>
      <c r="AF476">
        <v>8398.626953125</v>
      </c>
      <c r="AG476">
        <v>28613.224609375</v>
      </c>
      <c r="AH476">
        <v>61398.875</v>
      </c>
      <c r="AI476">
        <v>7188.3173828125</v>
      </c>
      <c r="AK476">
        <f t="shared" si="21"/>
        <v>306832.5703125</v>
      </c>
      <c r="AM476" s="2"/>
    </row>
    <row r="477" spans="1:39" x14ac:dyDescent="0.45">
      <c r="A477">
        <v>225</v>
      </c>
      <c r="B477">
        <v>4868.92626953125</v>
      </c>
      <c r="C477">
        <v>27643.2265625</v>
      </c>
      <c r="D477">
        <v>4881.80078125</v>
      </c>
      <c r="E477">
        <v>14684.623046875</v>
      </c>
      <c r="F477">
        <v>19872.78515625</v>
      </c>
      <c r="G477">
        <v>22598.4921875</v>
      </c>
      <c r="H477">
        <v>37364.72265625</v>
      </c>
      <c r="I477">
        <v>37743.45703125</v>
      </c>
      <c r="J477">
        <v>38785.37890625</v>
      </c>
      <c r="K477">
        <v>40918.13671875</v>
      </c>
      <c r="L477">
        <v>10541.2958984375</v>
      </c>
      <c r="M477">
        <v>40789.1796875</v>
      </c>
      <c r="N477">
        <v>60814.82421875</v>
      </c>
      <c r="O477">
        <v>7306.36083984375</v>
      </c>
      <c r="U477" s="2">
        <v>0.6875</v>
      </c>
      <c r="V477">
        <v>4868.92626953125</v>
      </c>
      <c r="W477">
        <v>27643.2265625</v>
      </c>
      <c r="X477">
        <v>4881.80078125</v>
      </c>
      <c r="Y477">
        <v>14684.623046875</v>
      </c>
      <c r="Z477">
        <v>19872.78515625</v>
      </c>
      <c r="AA477">
        <v>22598.4921875</v>
      </c>
      <c r="AB477">
        <v>37364.72265625</v>
      </c>
      <c r="AC477">
        <v>37743.45703125</v>
      </c>
      <c r="AD477">
        <v>38785.37890625</v>
      </c>
      <c r="AE477">
        <v>40918.13671875</v>
      </c>
      <c r="AF477">
        <v>10541.2958984375</v>
      </c>
      <c r="AG477">
        <v>40789.1796875</v>
      </c>
      <c r="AH477">
        <v>60814.82421875</v>
      </c>
      <c r="AI477">
        <v>7306.36083984375</v>
      </c>
      <c r="AK477">
        <f t="shared" si="21"/>
        <v>368813.2099609375</v>
      </c>
      <c r="AM477" s="2"/>
    </row>
    <row r="478" spans="1:39" x14ac:dyDescent="0.45">
      <c r="A478">
        <v>226</v>
      </c>
      <c r="B478">
        <v>32253.78125</v>
      </c>
      <c r="C478">
        <v>36091.69921875</v>
      </c>
      <c r="D478">
        <v>19957.8046875</v>
      </c>
      <c r="E478">
        <v>39496.40625</v>
      </c>
      <c r="F478">
        <v>42991.921875</v>
      </c>
      <c r="G478">
        <v>32892.5</v>
      </c>
      <c r="H478">
        <v>83859.5390625</v>
      </c>
      <c r="I478">
        <v>77909.8125</v>
      </c>
      <c r="J478">
        <v>85618.9609375</v>
      </c>
      <c r="K478">
        <v>96091</v>
      </c>
      <c r="L478">
        <v>14816.6279296875</v>
      </c>
      <c r="M478">
        <v>66957.6640625</v>
      </c>
      <c r="N478">
        <v>67444.515625</v>
      </c>
      <c r="O478">
        <v>24347.876953125</v>
      </c>
      <c r="U478" s="2">
        <v>0.70833333333333337</v>
      </c>
      <c r="V478">
        <v>32253.78125</v>
      </c>
      <c r="W478">
        <v>36091.69921875</v>
      </c>
      <c r="X478">
        <v>19957.8046875</v>
      </c>
      <c r="Y478">
        <v>39496.40625</v>
      </c>
      <c r="Z478">
        <v>42991.921875</v>
      </c>
      <c r="AA478">
        <v>32892.5</v>
      </c>
      <c r="AB478">
        <v>83859.5390625</v>
      </c>
      <c r="AC478">
        <v>77909.8125</v>
      </c>
      <c r="AD478">
        <v>85618.9609375</v>
      </c>
      <c r="AE478">
        <v>96091</v>
      </c>
      <c r="AF478">
        <v>14816.6279296875</v>
      </c>
      <c r="AG478">
        <v>66957.6640625</v>
      </c>
      <c r="AH478">
        <v>67444.515625</v>
      </c>
      <c r="AI478">
        <v>24347.876953125</v>
      </c>
      <c r="AK478">
        <f t="shared" si="21"/>
        <v>720730.1103515625</v>
      </c>
      <c r="AM478" s="2"/>
    </row>
    <row r="479" spans="1:39" x14ac:dyDescent="0.45">
      <c r="A479">
        <v>227</v>
      </c>
      <c r="B479">
        <v>47855.8359375</v>
      </c>
      <c r="C479">
        <v>47319.6796875</v>
      </c>
      <c r="D479">
        <v>35061.94140625</v>
      </c>
      <c r="E479">
        <v>64014.08984375</v>
      </c>
      <c r="F479">
        <v>65281.63671875</v>
      </c>
      <c r="G479">
        <v>37615.37109375</v>
      </c>
      <c r="H479">
        <v>127625.3828125</v>
      </c>
      <c r="I479">
        <v>107988.953125</v>
      </c>
      <c r="J479">
        <v>127534.3984375</v>
      </c>
      <c r="K479">
        <v>134340.328125</v>
      </c>
      <c r="L479">
        <v>27634.556640625</v>
      </c>
      <c r="M479">
        <v>87348.28125</v>
      </c>
      <c r="N479">
        <v>69699.2109375</v>
      </c>
      <c r="O479">
        <v>34781.26171875</v>
      </c>
      <c r="U479" s="2">
        <v>0.72916666666666663</v>
      </c>
      <c r="V479">
        <v>47855.8359375</v>
      </c>
      <c r="W479">
        <v>47319.6796875</v>
      </c>
      <c r="X479">
        <v>35061.94140625</v>
      </c>
      <c r="Y479">
        <v>64014.08984375</v>
      </c>
      <c r="Z479">
        <v>65281.63671875</v>
      </c>
      <c r="AA479">
        <v>37615.37109375</v>
      </c>
      <c r="AB479">
        <v>127625.3828125</v>
      </c>
      <c r="AC479">
        <v>107988.953125</v>
      </c>
      <c r="AD479">
        <v>127534.3984375</v>
      </c>
      <c r="AE479">
        <v>134340.328125</v>
      </c>
      <c r="AF479">
        <v>27634.556640625</v>
      </c>
      <c r="AG479">
        <v>87348.28125</v>
      </c>
      <c r="AH479">
        <v>69699.2109375</v>
      </c>
      <c r="AI479">
        <v>34781.26171875</v>
      </c>
      <c r="AK479">
        <f t="shared" si="21"/>
        <v>1014100.927734375</v>
      </c>
      <c r="AM479" s="2"/>
    </row>
    <row r="480" spans="1:39" x14ac:dyDescent="0.45">
      <c r="A480">
        <v>228</v>
      </c>
      <c r="B480">
        <v>57594.78515625</v>
      </c>
      <c r="C480">
        <v>45889.77734375</v>
      </c>
      <c r="D480">
        <v>53630.8359375</v>
      </c>
      <c r="E480">
        <v>83210.3984375</v>
      </c>
      <c r="F480">
        <v>74854.859375</v>
      </c>
      <c r="G480">
        <v>45228.8359375</v>
      </c>
      <c r="H480">
        <v>150100.984375</v>
      </c>
      <c r="I480">
        <v>149933.421875</v>
      </c>
      <c r="J480">
        <v>151857.203125</v>
      </c>
      <c r="K480">
        <v>174928.1875</v>
      </c>
      <c r="L480">
        <v>32011.98046875</v>
      </c>
      <c r="M480">
        <v>111165.859375</v>
      </c>
      <c r="N480">
        <v>78147.15625</v>
      </c>
      <c r="O480">
        <v>55691.96875</v>
      </c>
      <c r="U480" s="2">
        <v>0.75</v>
      </c>
      <c r="V480">
        <v>57594.78515625</v>
      </c>
      <c r="W480">
        <v>45889.77734375</v>
      </c>
      <c r="X480">
        <v>53630.8359375</v>
      </c>
      <c r="Y480">
        <v>83210.3984375</v>
      </c>
      <c r="Z480">
        <v>74854.859375</v>
      </c>
      <c r="AA480">
        <v>45228.8359375</v>
      </c>
      <c r="AB480">
        <v>150100.984375</v>
      </c>
      <c r="AC480">
        <v>149933.421875</v>
      </c>
      <c r="AD480">
        <v>151857.203125</v>
      </c>
      <c r="AE480">
        <v>174928.1875</v>
      </c>
      <c r="AF480">
        <v>32011.98046875</v>
      </c>
      <c r="AG480">
        <v>111165.859375</v>
      </c>
      <c r="AH480">
        <v>78147.15625</v>
      </c>
      <c r="AI480">
        <v>55691.96875</v>
      </c>
      <c r="AK480">
        <f t="shared" si="21"/>
        <v>1264246.25390625</v>
      </c>
      <c r="AM480" s="2"/>
    </row>
    <row r="481" spans="1:39" x14ac:dyDescent="0.45">
      <c r="A481">
        <v>229</v>
      </c>
      <c r="B481">
        <v>72411.4140625</v>
      </c>
      <c r="C481">
        <v>59052.46484375</v>
      </c>
      <c r="D481">
        <v>64264.90234375</v>
      </c>
      <c r="E481">
        <v>97932.75</v>
      </c>
      <c r="F481">
        <v>99619.40625</v>
      </c>
      <c r="G481">
        <v>54488.40625</v>
      </c>
      <c r="H481">
        <v>189776.359375</v>
      </c>
      <c r="I481">
        <v>185480.03125</v>
      </c>
      <c r="J481">
        <v>191132.90625</v>
      </c>
      <c r="K481">
        <v>218785.3125</v>
      </c>
      <c r="L481">
        <v>38721.8359375</v>
      </c>
      <c r="M481">
        <v>137396.4375</v>
      </c>
      <c r="N481">
        <v>84671.9453125</v>
      </c>
      <c r="O481">
        <v>66721.5546875</v>
      </c>
      <c r="U481" s="2">
        <v>0.77083333333333337</v>
      </c>
      <c r="V481">
        <v>72411.4140625</v>
      </c>
      <c r="W481">
        <v>59052.46484375</v>
      </c>
      <c r="X481">
        <v>64264.90234375</v>
      </c>
      <c r="Y481">
        <v>97932.75</v>
      </c>
      <c r="Z481">
        <v>99619.40625</v>
      </c>
      <c r="AA481">
        <v>54488.40625</v>
      </c>
      <c r="AB481">
        <v>189776.359375</v>
      </c>
      <c r="AC481">
        <v>185480.03125</v>
      </c>
      <c r="AD481">
        <v>191132.90625</v>
      </c>
      <c r="AE481">
        <v>218785.3125</v>
      </c>
      <c r="AF481">
        <v>38721.8359375</v>
      </c>
      <c r="AG481">
        <v>137396.4375</v>
      </c>
      <c r="AH481">
        <v>84671.9453125</v>
      </c>
      <c r="AI481">
        <v>66721.5546875</v>
      </c>
      <c r="AK481">
        <f t="shared" si="21"/>
        <v>1560455.7265625</v>
      </c>
      <c r="AM481" s="2"/>
    </row>
    <row r="482" spans="1:39" x14ac:dyDescent="0.45">
      <c r="A482">
        <v>230</v>
      </c>
      <c r="B482">
        <v>88218.7734375</v>
      </c>
      <c r="C482">
        <v>72769.75</v>
      </c>
      <c r="D482">
        <v>60914.4453125</v>
      </c>
      <c r="E482">
        <v>104277.9921875</v>
      </c>
      <c r="F482">
        <v>123363.1796875</v>
      </c>
      <c r="G482">
        <v>65465.21484375</v>
      </c>
      <c r="H482">
        <v>218363.953125</v>
      </c>
      <c r="I482">
        <v>203624.875</v>
      </c>
      <c r="J482">
        <v>222822.359375</v>
      </c>
      <c r="K482">
        <v>255213.5</v>
      </c>
      <c r="L482">
        <v>51029.74609375</v>
      </c>
      <c r="M482">
        <v>149972.515625</v>
      </c>
      <c r="N482">
        <v>88468.2265625</v>
      </c>
      <c r="O482">
        <v>78713.4765625</v>
      </c>
      <c r="U482" s="2">
        <v>0.79166666666666663</v>
      </c>
      <c r="V482">
        <v>88218.7734375</v>
      </c>
      <c r="W482">
        <v>72769.75</v>
      </c>
      <c r="X482">
        <v>60914.4453125</v>
      </c>
      <c r="Y482">
        <v>104277.9921875</v>
      </c>
      <c r="Z482">
        <v>123363.1796875</v>
      </c>
      <c r="AA482">
        <v>65465.21484375</v>
      </c>
      <c r="AB482">
        <v>218363.953125</v>
      </c>
      <c r="AC482">
        <v>203624.875</v>
      </c>
      <c r="AD482">
        <v>222822.359375</v>
      </c>
      <c r="AE482">
        <v>255213.5</v>
      </c>
      <c r="AF482">
        <v>51029.74609375</v>
      </c>
      <c r="AG482">
        <v>149972.515625</v>
      </c>
      <c r="AH482">
        <v>88468.2265625</v>
      </c>
      <c r="AI482">
        <v>78713.4765625</v>
      </c>
      <c r="AK482">
        <f t="shared" si="21"/>
        <v>1783218.0078125</v>
      </c>
      <c r="AM482" s="2"/>
    </row>
    <row r="483" spans="1:39" x14ac:dyDescent="0.45">
      <c r="A483">
        <v>231</v>
      </c>
      <c r="B483">
        <v>102707.21875</v>
      </c>
      <c r="C483">
        <v>74827.015625</v>
      </c>
      <c r="D483">
        <v>68667.5546875</v>
      </c>
      <c r="E483">
        <v>117430.265625</v>
      </c>
      <c r="F483">
        <v>134671.390625</v>
      </c>
      <c r="G483">
        <v>69071.0078125</v>
      </c>
      <c r="H483">
        <v>243425.390625</v>
      </c>
      <c r="I483">
        <v>217539.515625</v>
      </c>
      <c r="J483">
        <v>249315.25</v>
      </c>
      <c r="K483">
        <v>277285.8125</v>
      </c>
      <c r="L483">
        <v>55019.078125</v>
      </c>
      <c r="M483">
        <v>162444.359375</v>
      </c>
      <c r="N483">
        <v>85645.046875</v>
      </c>
      <c r="O483">
        <v>80720.03125</v>
      </c>
      <c r="U483" s="2">
        <v>0.8125</v>
      </c>
      <c r="V483">
        <v>102707.21875</v>
      </c>
      <c r="W483">
        <v>74827.015625</v>
      </c>
      <c r="X483">
        <v>68667.5546875</v>
      </c>
      <c r="Y483">
        <v>117430.265625</v>
      </c>
      <c r="Z483">
        <v>134671.390625</v>
      </c>
      <c r="AA483">
        <v>69071.0078125</v>
      </c>
      <c r="AB483">
        <v>243425.390625</v>
      </c>
      <c r="AC483">
        <v>217539.515625</v>
      </c>
      <c r="AD483">
        <v>249315.25</v>
      </c>
      <c r="AE483">
        <v>277285.8125</v>
      </c>
      <c r="AF483">
        <v>55019.078125</v>
      </c>
      <c r="AG483">
        <v>162444.359375</v>
      </c>
      <c r="AH483">
        <v>85645.046875</v>
      </c>
      <c r="AI483">
        <v>80720.03125</v>
      </c>
      <c r="AK483">
        <f t="shared" si="21"/>
        <v>1938768.9375</v>
      </c>
      <c r="AM483" s="2"/>
    </row>
    <row r="484" spans="1:39" x14ac:dyDescent="0.45">
      <c r="A484">
        <v>232</v>
      </c>
      <c r="B484">
        <v>108137.671875</v>
      </c>
      <c r="C484">
        <v>69191.953125</v>
      </c>
      <c r="D484">
        <v>67336.453125</v>
      </c>
      <c r="E484">
        <v>115814.8359375</v>
      </c>
      <c r="F484">
        <v>137239.21875</v>
      </c>
      <c r="G484">
        <v>66536.4609375</v>
      </c>
      <c r="H484">
        <v>249218.515625</v>
      </c>
      <c r="I484">
        <v>212039.421875</v>
      </c>
      <c r="J484">
        <v>252508.15625</v>
      </c>
      <c r="K484">
        <v>283673.125</v>
      </c>
      <c r="L484">
        <v>52236.09765625</v>
      </c>
      <c r="M484">
        <v>164849.171875</v>
      </c>
      <c r="N484">
        <v>83972.6796875</v>
      </c>
      <c r="O484">
        <v>82348.578125</v>
      </c>
      <c r="U484" s="2">
        <v>0.83333333333333337</v>
      </c>
      <c r="V484">
        <v>108137.671875</v>
      </c>
      <c r="W484">
        <v>69191.953125</v>
      </c>
      <c r="X484">
        <v>67336.453125</v>
      </c>
      <c r="Y484">
        <v>115814.8359375</v>
      </c>
      <c r="Z484">
        <v>137239.21875</v>
      </c>
      <c r="AA484">
        <v>66536.4609375</v>
      </c>
      <c r="AB484">
        <v>249218.515625</v>
      </c>
      <c r="AC484">
        <v>212039.421875</v>
      </c>
      <c r="AD484">
        <v>252508.15625</v>
      </c>
      <c r="AE484">
        <v>283673.125</v>
      </c>
      <c r="AF484">
        <v>52236.09765625</v>
      </c>
      <c r="AG484">
        <v>164849.171875</v>
      </c>
      <c r="AH484">
        <v>83972.6796875</v>
      </c>
      <c r="AI484">
        <v>82348.578125</v>
      </c>
      <c r="AK484">
        <f t="shared" si="21"/>
        <v>1945102.33984375</v>
      </c>
      <c r="AM484" s="2"/>
    </row>
    <row r="485" spans="1:39" x14ac:dyDescent="0.45">
      <c r="A485">
        <v>233</v>
      </c>
      <c r="B485">
        <v>115809.3515625</v>
      </c>
      <c r="C485">
        <v>68864.171875</v>
      </c>
      <c r="D485">
        <v>66599.7890625</v>
      </c>
      <c r="E485">
        <v>107242.3984375</v>
      </c>
      <c r="F485">
        <v>140519.125</v>
      </c>
      <c r="G485">
        <v>63601.953125</v>
      </c>
      <c r="H485">
        <v>250171.875</v>
      </c>
      <c r="I485">
        <v>208262.40625</v>
      </c>
      <c r="J485">
        <v>244212.5</v>
      </c>
      <c r="K485">
        <v>281040.9375</v>
      </c>
      <c r="L485">
        <v>49939.61328125</v>
      </c>
      <c r="M485">
        <v>163630.640625</v>
      </c>
      <c r="N485">
        <v>88544.671875</v>
      </c>
      <c r="O485">
        <v>84261.234375</v>
      </c>
      <c r="U485" s="2">
        <v>0.85416666666666663</v>
      </c>
      <c r="V485">
        <v>115809.3515625</v>
      </c>
      <c r="W485">
        <v>68864.171875</v>
      </c>
      <c r="X485">
        <v>66599.7890625</v>
      </c>
      <c r="Y485">
        <v>107242.3984375</v>
      </c>
      <c r="Z485">
        <v>140519.125</v>
      </c>
      <c r="AA485">
        <v>63601.953125</v>
      </c>
      <c r="AB485">
        <v>250171.875</v>
      </c>
      <c r="AC485">
        <v>208262.40625</v>
      </c>
      <c r="AD485">
        <v>244212.5</v>
      </c>
      <c r="AE485">
        <v>281040.9375</v>
      </c>
      <c r="AF485">
        <v>49939.61328125</v>
      </c>
      <c r="AG485">
        <v>163630.640625</v>
      </c>
      <c r="AH485">
        <v>88544.671875</v>
      </c>
      <c r="AI485">
        <v>84261.234375</v>
      </c>
      <c r="AK485">
        <f t="shared" si="21"/>
        <v>1932700.66796875</v>
      </c>
      <c r="AM485" s="2"/>
    </row>
    <row r="486" spans="1:39" x14ac:dyDescent="0.45">
      <c r="A486">
        <v>234</v>
      </c>
      <c r="B486">
        <v>124863.9375</v>
      </c>
      <c r="C486">
        <v>66409.609375</v>
      </c>
      <c r="D486">
        <v>64013.3125</v>
      </c>
      <c r="E486">
        <v>109860.7109375</v>
      </c>
      <c r="F486">
        <v>147631.53125</v>
      </c>
      <c r="G486">
        <v>61229.26171875</v>
      </c>
      <c r="H486">
        <v>252774.0625</v>
      </c>
      <c r="I486">
        <v>210691.25</v>
      </c>
      <c r="J486">
        <v>249566.171875</v>
      </c>
      <c r="K486">
        <v>285845.78125</v>
      </c>
      <c r="L486">
        <v>58588.36328125</v>
      </c>
      <c r="M486">
        <v>154213.875</v>
      </c>
      <c r="N486">
        <v>96357.25</v>
      </c>
      <c r="O486">
        <v>91611.625</v>
      </c>
      <c r="U486" s="2">
        <v>0.875</v>
      </c>
      <c r="V486">
        <v>124863.9375</v>
      </c>
      <c r="W486">
        <v>66409.609375</v>
      </c>
      <c r="X486">
        <v>64013.3125</v>
      </c>
      <c r="Y486">
        <v>109860.7109375</v>
      </c>
      <c r="Z486">
        <v>147631.53125</v>
      </c>
      <c r="AA486">
        <v>61229.26171875</v>
      </c>
      <c r="AB486">
        <v>252774.0625</v>
      </c>
      <c r="AC486">
        <v>210691.25</v>
      </c>
      <c r="AD486">
        <v>249566.171875</v>
      </c>
      <c r="AE486">
        <v>285845.78125</v>
      </c>
      <c r="AF486">
        <v>58588.36328125</v>
      </c>
      <c r="AG486">
        <v>154213.875</v>
      </c>
      <c r="AH486">
        <v>96357.25</v>
      </c>
      <c r="AI486">
        <v>91611.625</v>
      </c>
      <c r="AK486">
        <f t="shared" si="21"/>
        <v>1973656.7421875</v>
      </c>
      <c r="AM486" s="2"/>
    </row>
    <row r="487" spans="1:39" x14ac:dyDescent="0.45">
      <c r="A487">
        <v>235</v>
      </c>
      <c r="B487">
        <v>104730.8359375</v>
      </c>
      <c r="C487">
        <v>65744.1015625</v>
      </c>
      <c r="D487">
        <v>63825.36328125</v>
      </c>
      <c r="E487">
        <v>103426.484375</v>
      </c>
      <c r="F487">
        <v>137262.640625</v>
      </c>
      <c r="G487">
        <v>62992.2578125</v>
      </c>
      <c r="H487">
        <v>234683.890625</v>
      </c>
      <c r="I487">
        <v>204504.96875</v>
      </c>
      <c r="J487">
        <v>235596.953125</v>
      </c>
      <c r="K487">
        <v>269015.71875</v>
      </c>
      <c r="L487">
        <v>53292.67578125</v>
      </c>
      <c r="M487">
        <v>149748.4375</v>
      </c>
      <c r="N487">
        <v>84354.3984375</v>
      </c>
      <c r="O487">
        <v>81794.4453125</v>
      </c>
      <c r="U487" s="2">
        <v>0.89583333333333337</v>
      </c>
      <c r="V487">
        <v>104730.8359375</v>
      </c>
      <c r="W487">
        <v>65744.1015625</v>
      </c>
      <c r="X487">
        <v>63825.36328125</v>
      </c>
      <c r="Y487">
        <v>103426.484375</v>
      </c>
      <c r="Z487">
        <v>137262.640625</v>
      </c>
      <c r="AA487">
        <v>62992.2578125</v>
      </c>
      <c r="AB487">
        <v>234683.890625</v>
      </c>
      <c r="AC487">
        <v>204504.96875</v>
      </c>
      <c r="AD487">
        <v>235596.953125</v>
      </c>
      <c r="AE487">
        <v>269015.71875</v>
      </c>
      <c r="AF487">
        <v>53292.67578125</v>
      </c>
      <c r="AG487">
        <v>149748.4375</v>
      </c>
      <c r="AH487">
        <v>84354.3984375</v>
      </c>
      <c r="AI487">
        <v>81794.4453125</v>
      </c>
      <c r="AK487">
        <f t="shared" si="21"/>
        <v>1850973.171875</v>
      </c>
      <c r="AM487" s="2"/>
    </row>
    <row r="488" spans="1:39" x14ac:dyDescent="0.45">
      <c r="A488">
        <v>236</v>
      </c>
      <c r="B488">
        <v>90773.4140625</v>
      </c>
      <c r="C488">
        <v>60378.99609375</v>
      </c>
      <c r="D488">
        <v>58170.93359375</v>
      </c>
      <c r="E488">
        <v>98110.390625</v>
      </c>
      <c r="F488">
        <v>121605.8203125</v>
      </c>
      <c r="G488">
        <v>58993.3359375</v>
      </c>
      <c r="H488">
        <v>210413.890625</v>
      </c>
      <c r="I488">
        <v>195947.953125</v>
      </c>
      <c r="J488">
        <v>215382.3125</v>
      </c>
      <c r="K488">
        <v>252130.796875</v>
      </c>
      <c r="L488">
        <v>51786.11328125</v>
      </c>
      <c r="M488">
        <v>134411.515625</v>
      </c>
      <c r="N488">
        <v>82428.671875</v>
      </c>
      <c r="O488">
        <v>78067.2890625</v>
      </c>
      <c r="U488" s="2">
        <v>0.91666666666666663</v>
      </c>
      <c r="V488">
        <v>90773.4140625</v>
      </c>
      <c r="W488">
        <v>60378.99609375</v>
      </c>
      <c r="X488">
        <v>58170.93359375</v>
      </c>
      <c r="Y488">
        <v>98110.390625</v>
      </c>
      <c r="Z488">
        <v>121605.8203125</v>
      </c>
      <c r="AA488">
        <v>58993.3359375</v>
      </c>
      <c r="AB488">
        <v>210413.890625</v>
      </c>
      <c r="AC488">
        <v>195947.953125</v>
      </c>
      <c r="AD488">
        <v>215382.3125</v>
      </c>
      <c r="AE488">
        <v>252130.796875</v>
      </c>
      <c r="AF488">
        <v>51786.11328125</v>
      </c>
      <c r="AG488">
        <v>134411.515625</v>
      </c>
      <c r="AH488">
        <v>82428.671875</v>
      </c>
      <c r="AI488">
        <v>78067.2890625</v>
      </c>
      <c r="AK488">
        <f t="shared" si="21"/>
        <v>1708601.43359375</v>
      </c>
      <c r="AM488" s="2"/>
    </row>
    <row r="489" spans="1:39" x14ac:dyDescent="0.45">
      <c r="A489">
        <v>237</v>
      </c>
      <c r="B489">
        <v>84504.640625</v>
      </c>
      <c r="C489">
        <v>52931.6171875</v>
      </c>
      <c r="D489">
        <v>52115.52734375</v>
      </c>
      <c r="E489">
        <v>90560.109375</v>
      </c>
      <c r="F489">
        <v>110307.3515625</v>
      </c>
      <c r="G489">
        <v>55901.0390625</v>
      </c>
      <c r="H489">
        <v>189242.546875</v>
      </c>
      <c r="I489">
        <v>178581.6875</v>
      </c>
      <c r="J489">
        <v>197850.53125</v>
      </c>
      <c r="K489">
        <v>234721.515625</v>
      </c>
      <c r="L489">
        <v>46372.4375</v>
      </c>
      <c r="M489">
        <v>121795.265625</v>
      </c>
      <c r="N489">
        <v>74816.375</v>
      </c>
      <c r="O489">
        <v>70878.859375</v>
      </c>
      <c r="U489" s="2">
        <v>0.9375</v>
      </c>
      <c r="V489">
        <v>84504.640625</v>
      </c>
      <c r="W489">
        <v>52931.6171875</v>
      </c>
      <c r="X489">
        <v>52115.52734375</v>
      </c>
      <c r="Y489">
        <v>90560.109375</v>
      </c>
      <c r="Z489">
        <v>110307.3515625</v>
      </c>
      <c r="AA489">
        <v>55901.0390625</v>
      </c>
      <c r="AB489">
        <v>189242.546875</v>
      </c>
      <c r="AC489">
        <v>178581.6875</v>
      </c>
      <c r="AD489">
        <v>197850.53125</v>
      </c>
      <c r="AE489">
        <v>234721.515625</v>
      </c>
      <c r="AF489">
        <v>46372.4375</v>
      </c>
      <c r="AG489">
        <v>121795.265625</v>
      </c>
      <c r="AH489">
        <v>74816.375</v>
      </c>
      <c r="AI489">
        <v>70878.859375</v>
      </c>
      <c r="AK489">
        <f t="shared" si="21"/>
        <v>1560579.50390625</v>
      </c>
      <c r="AM489" s="2"/>
    </row>
    <row r="490" spans="1:39" x14ac:dyDescent="0.45">
      <c r="A490">
        <v>238</v>
      </c>
      <c r="B490">
        <v>73244.9375</v>
      </c>
      <c r="C490">
        <v>45327.99609375</v>
      </c>
      <c r="D490">
        <v>45237.06640625</v>
      </c>
      <c r="E490">
        <v>90187.28125</v>
      </c>
      <c r="F490">
        <v>94772.2890625</v>
      </c>
      <c r="G490">
        <v>51387.75390625</v>
      </c>
      <c r="H490">
        <v>165367.234375</v>
      </c>
      <c r="I490">
        <v>184725.171875</v>
      </c>
      <c r="J490">
        <v>176423.171875</v>
      </c>
      <c r="K490">
        <v>238613.296875</v>
      </c>
      <c r="L490">
        <v>37313.64453125</v>
      </c>
      <c r="M490">
        <v>111669.421875</v>
      </c>
      <c r="N490">
        <v>85621.5546875</v>
      </c>
      <c r="O490">
        <v>78211.640625</v>
      </c>
      <c r="U490" s="2">
        <v>0.95833333333333337</v>
      </c>
      <c r="V490">
        <v>73244.9375</v>
      </c>
      <c r="W490">
        <v>45327.99609375</v>
      </c>
      <c r="X490">
        <v>45237.06640625</v>
      </c>
      <c r="Y490">
        <v>90187.28125</v>
      </c>
      <c r="Z490">
        <v>94772.2890625</v>
      </c>
      <c r="AA490">
        <v>51387.75390625</v>
      </c>
      <c r="AB490">
        <v>165367.234375</v>
      </c>
      <c r="AC490">
        <v>184725.171875</v>
      </c>
      <c r="AD490">
        <v>176423.171875</v>
      </c>
      <c r="AE490">
        <v>238613.296875</v>
      </c>
      <c r="AF490">
        <v>37313.64453125</v>
      </c>
      <c r="AG490">
        <v>111669.421875</v>
      </c>
      <c r="AH490">
        <v>85621.5546875</v>
      </c>
      <c r="AI490">
        <v>78211.640625</v>
      </c>
      <c r="AK490">
        <f t="shared" si="21"/>
        <v>1478102.4609375</v>
      </c>
      <c r="AM490" s="2"/>
    </row>
    <row r="491" spans="1:39" x14ac:dyDescent="0.45">
      <c r="A491">
        <v>239</v>
      </c>
      <c r="B491">
        <v>73903.71875</v>
      </c>
      <c r="C491">
        <v>42672.36328125</v>
      </c>
      <c r="D491">
        <v>45716.01171875</v>
      </c>
      <c r="E491">
        <v>90256.3203125</v>
      </c>
      <c r="F491">
        <v>93188.3046875</v>
      </c>
      <c r="G491">
        <v>47971.44921875</v>
      </c>
      <c r="H491">
        <v>161262</v>
      </c>
      <c r="I491">
        <v>175708.625</v>
      </c>
      <c r="J491">
        <v>172198.171875</v>
      </c>
      <c r="K491">
        <v>226928.6875</v>
      </c>
      <c r="L491">
        <v>33694.515625</v>
      </c>
      <c r="M491">
        <v>109545.1171875</v>
      </c>
      <c r="N491">
        <v>75826.578125</v>
      </c>
      <c r="O491">
        <v>69918.390625</v>
      </c>
      <c r="U491" s="2">
        <v>0.97916666666666663</v>
      </c>
      <c r="V491">
        <v>73903.71875</v>
      </c>
      <c r="W491">
        <v>42672.36328125</v>
      </c>
      <c r="X491">
        <v>45716.01171875</v>
      </c>
      <c r="Y491">
        <v>90256.3203125</v>
      </c>
      <c r="Z491">
        <v>93188.3046875</v>
      </c>
      <c r="AA491">
        <v>47971.44921875</v>
      </c>
      <c r="AB491">
        <v>161262</v>
      </c>
      <c r="AC491">
        <v>175708.625</v>
      </c>
      <c r="AD491">
        <v>172198.171875</v>
      </c>
      <c r="AE491">
        <v>226928.6875</v>
      </c>
      <c r="AF491">
        <v>33694.515625</v>
      </c>
      <c r="AG491">
        <v>109545.1171875</v>
      </c>
      <c r="AH491">
        <v>75826.578125</v>
      </c>
      <c r="AI491">
        <v>69918.390625</v>
      </c>
      <c r="AK491">
        <f t="shared" si="21"/>
        <v>1418790.25390625</v>
      </c>
      <c r="AM491" s="2"/>
    </row>
    <row r="492" spans="1:39" x14ac:dyDescent="0.45">
      <c r="A492">
        <v>240</v>
      </c>
      <c r="B492">
        <v>69625.7890625</v>
      </c>
      <c r="C492">
        <v>35143.7109375</v>
      </c>
      <c r="D492">
        <v>38795.9765625</v>
      </c>
      <c r="E492">
        <v>76656.3125</v>
      </c>
      <c r="F492">
        <v>80335.5625</v>
      </c>
      <c r="G492">
        <v>38367.37109375</v>
      </c>
      <c r="H492">
        <v>145971.578125</v>
      </c>
      <c r="I492">
        <v>147324.40625</v>
      </c>
      <c r="J492">
        <v>151571.03125</v>
      </c>
      <c r="K492">
        <v>198536.125</v>
      </c>
      <c r="L492">
        <v>28726.927734375</v>
      </c>
      <c r="M492">
        <v>91999.5</v>
      </c>
      <c r="N492">
        <v>65147.921875</v>
      </c>
      <c r="O492">
        <v>63778.43359375</v>
      </c>
      <c r="U492" s="2">
        <v>0</v>
      </c>
      <c r="V492">
        <v>69625.7890625</v>
      </c>
      <c r="W492">
        <v>35143.7109375</v>
      </c>
      <c r="X492">
        <v>38795.9765625</v>
      </c>
      <c r="Y492">
        <v>76656.3125</v>
      </c>
      <c r="Z492">
        <v>80335.5625</v>
      </c>
      <c r="AA492">
        <v>38367.37109375</v>
      </c>
      <c r="AB492">
        <v>145971.578125</v>
      </c>
      <c r="AC492">
        <v>147324.40625</v>
      </c>
      <c r="AD492">
        <v>151571.03125</v>
      </c>
      <c r="AE492">
        <v>198536.125</v>
      </c>
      <c r="AF492">
        <v>28726.927734375</v>
      </c>
      <c r="AG492">
        <v>91999.5</v>
      </c>
      <c r="AH492">
        <v>65147.921875</v>
      </c>
      <c r="AI492">
        <v>63778.43359375</v>
      </c>
      <c r="AK492">
        <f t="shared" si="21"/>
        <v>1231980.646484375</v>
      </c>
      <c r="AM492" s="2"/>
    </row>
    <row r="494" spans="1:39" x14ac:dyDescent="0.45">
      <c r="U494" t="s">
        <v>18</v>
      </c>
      <c r="AL494" t="s">
        <v>24</v>
      </c>
    </row>
    <row r="495" spans="1:39" x14ac:dyDescent="0.45">
      <c r="U495" t="s">
        <v>19</v>
      </c>
      <c r="V495">
        <f>IF(COUNTIF(V253:V492,"&lt;0")=0,0,1)</f>
        <v>1</v>
      </c>
      <c r="W495">
        <f t="shared" ref="W495:AI495" si="22">IF(COUNTIF(W253:W492,"&lt;0")=0,0,1)</f>
        <v>1</v>
      </c>
      <c r="X495">
        <f t="shared" si="22"/>
        <v>1</v>
      </c>
      <c r="Y495">
        <f t="shared" si="22"/>
        <v>1</v>
      </c>
      <c r="Z495">
        <f t="shared" si="22"/>
        <v>1</v>
      </c>
      <c r="AA495">
        <f t="shared" si="22"/>
        <v>1</v>
      </c>
      <c r="AB495">
        <f t="shared" si="22"/>
        <v>1</v>
      </c>
      <c r="AC495">
        <f t="shared" si="22"/>
        <v>1</v>
      </c>
      <c r="AD495">
        <f t="shared" si="22"/>
        <v>1</v>
      </c>
      <c r="AE495">
        <f t="shared" si="22"/>
        <v>1</v>
      </c>
      <c r="AF495">
        <f t="shared" si="22"/>
        <v>1</v>
      </c>
      <c r="AG495">
        <f t="shared" si="22"/>
        <v>1</v>
      </c>
      <c r="AH495">
        <f t="shared" si="22"/>
        <v>0</v>
      </c>
      <c r="AI495">
        <f t="shared" si="22"/>
        <v>1</v>
      </c>
      <c r="AL495" t="s">
        <v>25</v>
      </c>
      <c r="AM495">
        <f>MAX(AK253:AK492)</f>
        <v>3276764.609375</v>
      </c>
    </row>
    <row r="497" spans="21:42" x14ac:dyDescent="0.45">
      <c r="U497" t="s">
        <v>20</v>
      </c>
      <c r="AL497">
        <f>_xlfn.XLOOKUP(AM495,AK253:AK492,A253:A492)</f>
        <v>88</v>
      </c>
    </row>
    <row r="498" spans="21:42" x14ac:dyDescent="0.45">
      <c r="U498" t="s">
        <v>21</v>
      </c>
    </row>
    <row r="499" spans="21:42" x14ac:dyDescent="0.45">
      <c r="U499" t="s">
        <v>22</v>
      </c>
      <c r="V499">
        <f>MIN(V253:V492)</f>
        <v>-38843.12109375</v>
      </c>
      <c r="W499">
        <f t="shared" ref="W499:AI499" si="23">MIN(W253:W492)</f>
        <v>-21636.98828125</v>
      </c>
      <c r="X499">
        <f t="shared" si="23"/>
        <v>-33784.33984375</v>
      </c>
      <c r="Y499">
        <f t="shared" si="23"/>
        <v>-40096.3984375</v>
      </c>
      <c r="Z499">
        <f t="shared" si="23"/>
        <v>-49583.953125</v>
      </c>
      <c r="AA499">
        <f t="shared" si="23"/>
        <v>-27419.4375</v>
      </c>
      <c r="AB499">
        <f t="shared" si="23"/>
        <v>-78650.25</v>
      </c>
      <c r="AC499">
        <f t="shared" si="23"/>
        <v>-84106.03125</v>
      </c>
      <c r="AD499">
        <f t="shared" si="23"/>
        <v>-77312.671875</v>
      </c>
      <c r="AE499">
        <f t="shared" si="23"/>
        <v>-94876.7890625</v>
      </c>
      <c r="AF499">
        <f t="shared" si="23"/>
        <v>-20607.875</v>
      </c>
      <c r="AG499">
        <f t="shared" si="23"/>
        <v>-63458.5</v>
      </c>
      <c r="AH499">
        <f t="shared" si="23"/>
        <v>19808.841796875</v>
      </c>
      <c r="AI499">
        <f t="shared" si="23"/>
        <v>-33968.93359375</v>
      </c>
    </row>
    <row r="502" spans="21:42" x14ac:dyDescent="0.45">
      <c r="U502" t="s">
        <v>26</v>
      </c>
      <c r="V502" t="s">
        <v>3</v>
      </c>
      <c r="W502" t="s">
        <v>4</v>
      </c>
      <c r="X502" t="s">
        <v>5</v>
      </c>
      <c r="Y502" t="s">
        <v>6</v>
      </c>
      <c r="Z502" t="s">
        <v>7</v>
      </c>
      <c r="AA502" t="s">
        <v>8</v>
      </c>
      <c r="AB502" s="3" t="s">
        <v>9</v>
      </c>
      <c r="AC502" s="3" t="s">
        <v>10</v>
      </c>
      <c r="AD502" s="3" t="s">
        <v>11</v>
      </c>
      <c r="AE502" s="3" t="s">
        <v>12</v>
      </c>
      <c r="AF502" t="s">
        <v>13</v>
      </c>
      <c r="AG502" s="4" t="s">
        <v>14</v>
      </c>
      <c r="AH502" t="s">
        <v>15</v>
      </c>
      <c r="AI502" t="s">
        <v>16</v>
      </c>
    </row>
    <row r="503" spans="21:42" x14ac:dyDescent="0.45">
      <c r="U503" t="s">
        <v>27</v>
      </c>
      <c r="V503">
        <v>163114.09375</v>
      </c>
      <c r="W503">
        <v>127321.53125</v>
      </c>
      <c r="X503">
        <v>119820.546875</v>
      </c>
      <c r="Y503">
        <v>152429.484375</v>
      </c>
      <c r="Z503">
        <v>247889.75</v>
      </c>
      <c r="AA503">
        <v>118969.0703125</v>
      </c>
      <c r="AB503" s="3">
        <v>394497.21875</v>
      </c>
      <c r="AC503" s="3">
        <v>379957.3125</v>
      </c>
      <c r="AD503" s="3">
        <v>397403.03125</v>
      </c>
      <c r="AE503" s="3">
        <v>466836.71875</v>
      </c>
      <c r="AF503">
        <v>87447.0390625</v>
      </c>
      <c r="AG503" s="4">
        <v>297245.9375</v>
      </c>
      <c r="AH503">
        <v>159255.703125</v>
      </c>
      <c r="AI503">
        <v>164577.171875</v>
      </c>
    </row>
    <row r="504" spans="21:42" x14ac:dyDescent="0.45">
      <c r="AL504" t="s">
        <v>28</v>
      </c>
      <c r="AM504" t="s">
        <v>29</v>
      </c>
      <c r="AN504" t="s">
        <v>30</v>
      </c>
      <c r="AO504" t="s">
        <v>31</v>
      </c>
      <c r="AP504" t="s">
        <v>32</v>
      </c>
    </row>
    <row r="505" spans="21:42" x14ac:dyDescent="0.45">
      <c r="AL505">
        <f>MAX(V503:AI503)</f>
        <v>466836.71875</v>
      </c>
      <c r="AM505">
        <f>MAX(V503:AD503,AF503:AI503)</f>
        <v>397403.03125</v>
      </c>
      <c r="AN505">
        <f>MAX(V503:AC503,AF503:AI503)</f>
        <v>394497.21875</v>
      </c>
      <c r="AO505">
        <f>MAX(V503:AA503,AF503:AI503,AC503)</f>
        <v>379957.3125</v>
      </c>
      <c r="AP505">
        <f>MAX(V503:AA503,AF503:AI503)</f>
        <v>297245.9375</v>
      </c>
    </row>
    <row r="506" spans="21:42" x14ac:dyDescent="0.45">
      <c r="AL506" t="str">
        <f>_xlfn.XLOOKUP(AL505,V503:AI503,V502:AI502)</f>
        <v>p_675_A_W</v>
      </c>
      <c r="AM506" t="str">
        <f>_xlfn.XLOOKUP(AM505,V503:AI503,V502:AI502)</f>
        <v>p_671_C_W</v>
      </c>
      <c r="AN506" t="str">
        <f>_xlfn.XLOOKUP(AN505,V503:AI503,V502:AI502)</f>
        <v>p_671_A_W</v>
      </c>
      <c r="AO506" t="str">
        <f>_xlfn.XLOOKUP(AO505,V503:AI503,V502:AI502)</f>
        <v>p_671_B_W</v>
      </c>
      <c r="AP506" t="str">
        <f>_xlfn.XLOOKUP(AP505,V503:AI503,V502:AI502)</f>
        <v>p_675_C_W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measured_powers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walker</dc:creator>
  <cp:lastModifiedBy>jack walker</cp:lastModifiedBy>
  <dcterms:created xsi:type="dcterms:W3CDTF">2026-07-29T07:16:45Z</dcterms:created>
  <dcterms:modified xsi:type="dcterms:W3CDTF">2026-08-05T06:41:21Z</dcterms:modified>
</cp:coreProperties>
</file>